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cuments\PTPM\"/>
    </mc:Choice>
  </mc:AlternateContent>
  <xr:revisionPtr revIDLastSave="0" documentId="13_ncr:1_{0E04EB80-0C94-47C1-895D-3A83C82A87C3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Cover" sheetId="1" r:id="rId1"/>
    <sheet name="HTS-0" sheetId="2" r:id="rId2"/>
    <sheet name="HTS-1" sheetId="3" r:id="rId3"/>
    <sheet name="HTS-2" sheetId="4" r:id="rId4"/>
    <sheet name="HTS-3" sheetId="5" r:id="rId5"/>
    <sheet name="HTS-4" sheetId="6" r:id="rId6"/>
    <sheet name="HTS-5" sheetId="7" r:id="rId7"/>
    <sheet name="HTS-6" sheetId="8" r:id="rId8"/>
    <sheet name="HTS-7" sheetId="9" r:id="rId9"/>
    <sheet name="HTS-8" sheetId="10" r:id="rId10"/>
    <sheet name="HTS-9" sheetId="11" r:id="rId11"/>
    <sheet name="Test Repor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1" l="1"/>
  <c r="B13" i="12" s="1"/>
  <c r="B7" i="11"/>
  <c r="D13" i="12" s="1"/>
  <c r="D6" i="11"/>
  <c r="E13" i="12" s="1"/>
  <c r="B6" i="11"/>
  <c r="C13" i="12" s="1"/>
  <c r="D7" i="10"/>
  <c r="B12" i="12" s="1"/>
  <c r="B7" i="10"/>
  <c r="D12" i="12" s="1"/>
  <c r="D6" i="10"/>
  <c r="E12" i="12" s="1"/>
  <c r="B6" i="10"/>
  <c r="C12" i="12" s="1"/>
  <c r="D7" i="9"/>
  <c r="B11" i="12" s="1"/>
  <c r="B7" i="9"/>
  <c r="D11" i="12" s="1"/>
  <c r="D6" i="9"/>
  <c r="E11" i="12" s="1"/>
  <c r="B6" i="9"/>
  <c r="C11" i="12" s="1"/>
  <c r="D7" i="8"/>
  <c r="B10" i="12" s="1"/>
  <c r="B7" i="8"/>
  <c r="D10" i="12" s="1"/>
  <c r="D6" i="8"/>
  <c r="E10" i="12" s="1"/>
  <c r="B6" i="8"/>
  <c r="C10" i="12" s="1"/>
  <c r="D7" i="7"/>
  <c r="B9" i="12" s="1"/>
  <c r="B7" i="7"/>
  <c r="D9" i="12" s="1"/>
  <c r="D6" i="7"/>
  <c r="E9" i="12" s="1"/>
  <c r="B6" i="7"/>
  <c r="C9" i="12" s="1"/>
  <c r="D7" i="6"/>
  <c r="B8" i="12" s="1"/>
  <c r="B7" i="6"/>
  <c r="D8" i="12" s="1"/>
  <c r="D6" i="6"/>
  <c r="E8" i="12" s="1"/>
  <c r="B6" i="6"/>
  <c r="C8" i="12" s="1"/>
  <c r="D7" i="5"/>
  <c r="B7" i="12" s="1"/>
  <c r="B7" i="5"/>
  <c r="D7" i="12" s="1"/>
  <c r="D6" i="5"/>
  <c r="E7" i="12" s="1"/>
  <c r="B6" i="5"/>
  <c r="C7" i="12" s="1"/>
  <c r="D7" i="4"/>
  <c r="B6" i="12" s="1"/>
  <c r="B7" i="4"/>
  <c r="D6" i="12" s="1"/>
  <c r="D6" i="4"/>
  <c r="E6" i="12" s="1"/>
  <c r="B6" i="4"/>
  <c r="C6" i="12" s="1"/>
  <c r="D7" i="3"/>
  <c r="B5" i="12" s="1"/>
  <c r="B7" i="3"/>
  <c r="D5" i="12" s="1"/>
  <c r="D6" i="3"/>
  <c r="E5" i="12" s="1"/>
  <c r="B6" i="3"/>
  <c r="C5" i="12" s="1"/>
  <c r="D7" i="2"/>
  <c r="B4" i="12" s="1"/>
  <c r="B14" i="12" s="1"/>
  <c r="B7" i="2"/>
  <c r="D4" i="12" s="1"/>
  <c r="D6" i="2"/>
  <c r="E4" i="12" s="1"/>
  <c r="B6" i="2"/>
  <c r="C4" i="12" s="1"/>
  <c r="E14" i="12" l="1"/>
  <c r="D14" i="12"/>
  <c r="C14" i="12"/>
</calcChain>
</file>

<file path=xl/sharedStrings.xml><?xml version="1.0" encoding="utf-8"?>
<sst xmlns="http://schemas.openxmlformats.org/spreadsheetml/2006/main" count="905" uniqueCount="558">
  <si>
    <t>TEST CASE - HospitalTriageSystem</t>
  </si>
  <si>
    <t>Module Code</t>
  </si>
  <si>
    <t>Module</t>
  </si>
  <si>
    <t>HTS-0</t>
  </si>
  <si>
    <t>Đăng nhập hệ thống</t>
  </si>
  <si>
    <t>HTS-1</t>
  </si>
  <si>
    <t>Phiên đăng nhập &amp; Đăng xuất</t>
  </si>
  <si>
    <t>HTS-2</t>
  </si>
  <si>
    <t>Điều hướng &amp; Menu</t>
  </si>
  <si>
    <t>HTS-3</t>
  </si>
  <si>
    <t>Phân quyền truy cập (RBAC)</t>
  </si>
  <si>
    <t>HTS-4</t>
  </si>
  <si>
    <t>Quản lý khoa (Departments)</t>
  </si>
  <si>
    <t>HTS-5</t>
  </si>
  <si>
    <t>Quản lý bác sĩ (Doctors)</t>
  </si>
  <si>
    <t>HTS-6</t>
  </si>
  <si>
    <t>Tiếp nhận bệnh nhân (Intake)</t>
  </si>
  <si>
    <t>HTS-7</t>
  </si>
  <si>
    <t>Phân luồng (Triage)</t>
  </si>
  <si>
    <t>HTS-8</t>
  </si>
  <si>
    <t>Dashboard</t>
  </si>
  <si>
    <t>HTS-9</t>
  </si>
  <si>
    <t>Báo cáo (Reports)</t>
  </si>
  <si>
    <t>TEST CASE</t>
  </si>
  <si>
    <t>System Name：</t>
  </si>
  <si>
    <t>HospitalTriageSystem</t>
  </si>
  <si>
    <t>Module Code：</t>
  </si>
  <si>
    <t>Test requirement:</t>
  </si>
  <si>
    <t>HTS-0: Đăng nhập hệ thống</t>
  </si>
  <si>
    <t>Pass</t>
  </si>
  <si>
    <t>Pending</t>
  </si>
  <si>
    <t>Fail</t>
  </si>
  <si>
    <t>Number of test cases:</t>
  </si>
  <si>
    <t>ID</t>
  </si>
  <si>
    <t>Test Case Description</t>
  </si>
  <si>
    <t>Test Case Procedure</t>
  </si>
  <si>
    <t>Expected Output</t>
  </si>
  <si>
    <t>Result</t>
  </si>
  <si>
    <t>Note</t>
  </si>
  <si>
    <t>1) Positive Testing – Happy path (dữ liệu hợp lệ)</t>
  </si>
  <si>
    <t>HTS-0-TC-01</t>
  </si>
  <si>
    <t>Login thành công với Admin</t>
  </si>
  <si>
    <t>Preconditions:
User admin@hospital.local tồn tại và có role Admin
Steps:
1) Mở /Identity/Account/Login
2) Nhập Email + Password hợp lệ
3) Click Login
Test Data:
Email=admin@hospital.local; Password=Admin@12345</t>
  </si>
  <si>
    <t>Đăng nhập thành công; chuyển sang trang Home; navbar hiển thị 'Xin chào' và nút Logout</t>
  </si>
  <si>
    <t>HTS-0-TC-02</t>
  </si>
  <si>
    <t>Login thành công với Receptionist</t>
  </si>
  <si>
    <t>Preconditions:
User receptionist@hospital.local tồn tại và có role Receptionist
Steps:
1) Mở /Identity/Account/Login
2) Nhập thông tin hợp lệ
3) Click Login
Test Data:
Email=receptionist@hospital.local; Password=Receptionist@12345</t>
  </si>
  <si>
    <t>Đăng nhập thành công; thấy menu 'Tiếp nhận' và không thấy menu Phân luồng/Dashboard/Báo cáo</t>
  </si>
  <si>
    <t>HTS-0-TC-03</t>
  </si>
  <si>
    <t>Login thành công với Nurse</t>
  </si>
  <si>
    <t>Preconditions:
User nurse@hospital.local tồn tại và có role Nurse
Steps:
1) Login nurse
2) Quan sát menu
Test Data:
Email=nurse@hospital.local; Password=Nurse@12345</t>
  </si>
  <si>
    <t>Đăng nhập thành công; thấy menu 'Phân luồng' và không thấy 'Danh mục'/'Báo cáo'</t>
  </si>
  <si>
    <t>HTS-0-TC-04</t>
  </si>
  <si>
    <t>Login thành công với Manager</t>
  </si>
  <si>
    <t>Preconditions:
User manager@hospital.local tồn tại và có role Manager
Steps:
1) Login manager
2) Quan sát menu
Test Data:
Email=manager@hospital.local; Password=Manager@12345</t>
  </si>
  <si>
    <t>Đăng nhập thành công; thấy 'Danh mục', 'Tiếp nhận', 'Phân luồng', 'Dashboard', 'Báo cáo'</t>
  </si>
  <si>
    <t>HTS-0-TC-05</t>
  </si>
  <si>
    <t>Login thành công với Doctor</t>
  </si>
  <si>
    <t>Preconditions:
User DR001@hospital.local tồn tại role Doctor và mapped Doctor.Code=DR001
Steps:
1) Login doctor
2) Mở /Dashboard
Test Data:
Email=DR001@hospital.local; Password=Doctor@12345</t>
  </si>
  <si>
    <t>Đăng nhập thành công; vào Dashboard thấy danh sách lượt khám của khoa của bác sĩ; không có dropdown chọn khoa</t>
  </si>
  <si>
    <t>2) Negative Testing / Error Handling – Dữ liệu không hợp lệ &amp; giá trị biên</t>
  </si>
  <si>
    <t>HTS-0-TC-06</t>
  </si>
  <si>
    <t>Login không hợp lệ: Email rỗng + Password rỗng</t>
  </si>
  <si>
    <t>Preconditions:
-
Steps:
1) Mở /Identity/Account/Login
2) Nhập dữ liệu theo Test Data
3) Click Login
Test Data:
Email='' Password=''</t>
  </si>
  <si>
    <t>Ở lại trang Login; hiển thị lỗi required/validation hoặc browser validation</t>
  </si>
  <si>
    <t>HTS-0-TC-07</t>
  </si>
  <si>
    <t>Login không hợp lệ: Email rỗng + Password đúng</t>
  </si>
  <si>
    <t>Preconditions:
-
Steps:
1) Mở /Identity/Account/Login
2) Nhập dữ liệu theo Test Data
3) Click Login
Test Data:
Email='' Password='Admin@12345'</t>
  </si>
  <si>
    <t>Ở lại trang Login; hiển thị lỗi</t>
  </si>
  <si>
    <t>HTS-0-TC-08</t>
  </si>
  <si>
    <t>Login không hợp lệ: Email đúng + Password rỗng</t>
  </si>
  <si>
    <t>Preconditions:
-
Steps:
1) Mở /Identity/Account/Login
2) Nhập dữ liệu theo Test Data
3) Click Login
Test Data:
Email='admin@hospital.local' Password=''</t>
  </si>
  <si>
    <t>HTS-0-TC-09</t>
  </si>
  <si>
    <t>Login không hợp lệ: Email sai format (abc)</t>
  </si>
  <si>
    <t>Preconditions:
-
Steps:
1) Mở /Identity/Account/Login
2) Nhập dữ liệu theo Test Data
3) Click Login
Test Data:
Email='abc' Password='whatever'</t>
  </si>
  <si>
    <t>Form bị chặn bởi HTML5 validation (email) hoặc hiển thị lỗi; không đăng nhập</t>
  </si>
  <si>
    <t>HTS-0-TC-10</t>
  </si>
  <si>
    <t>Login không hợp lệ: Email không tồn tại</t>
  </si>
  <si>
    <t>Preconditions:
-
Steps:
1) Mở /Identity/Account/Login
2) Nhập dữ liệu theo Test Data
3) Click Login
Test Data:
Email='noone@hospital.local' Password='whatever'</t>
  </si>
  <si>
    <t>Ở lại trang Login; hiển thị 'Invalid login attempt' (hoặc tương đương)</t>
  </si>
  <si>
    <t>HTS-0-TC-11</t>
  </si>
  <si>
    <t>Login không hợp lệ: Password sai</t>
  </si>
  <si>
    <t>Preconditions:
-
Steps:
1) Mở /Identity/Account/Login
2) Nhập dữ liệu theo Test Data
3) Click Login
Test Data:
Email='admin@hospital.local' Password='WRONG_PASSWORD'</t>
  </si>
  <si>
    <t>Ở lại trang Login; hiển thị lỗi đăng nhập</t>
  </si>
  <si>
    <t>HTS-0-TC-12</t>
  </si>
  <si>
    <t>Login không hợp lệ: Password đúng nhưng thêm khoảng trắng cuối</t>
  </si>
  <si>
    <t>Preconditions:
-
Steps:
1) Mở /Identity/Account/Login
2) Nhập dữ liệu theo Test Data
3) Click Login
Test Data:
Email='admin@hospital.local' Password='Admin@12345 '</t>
  </si>
  <si>
    <t>HTS-0-TC-13</t>
  </si>
  <si>
    <t>Login không hợp lệ: Chuỗi nghi SQLi trong Email</t>
  </si>
  <si>
    <t>Preconditions:
-
Steps:
1) Mở /Identity/Account/Login
2) Nhập dữ liệu theo Test Data
3) Click Login
Test Data:
Email="a@b.com' OR 1=1 --" Password='whatever'</t>
  </si>
  <si>
    <t>Không đăng nhập; hệ thống không crash; vẫn ở Login</t>
  </si>
  <si>
    <t>HTS-0-TC-14</t>
  </si>
  <si>
    <t>Login không hợp lệ: Chuỗi nghi XSS trong Email</t>
  </si>
  <si>
    <t>Preconditions:
-
Steps:
1) Mở /Identity/Account/Login
2) Nhập dữ liệu theo Test Data
3) Click Login
Test Data:
Email='&lt;script&gt;alert(1)&lt;/script&gt;@a.com' Password='whatever'</t>
  </si>
  <si>
    <t>Không đăng nhập; hệ thống không crash; input được xử lý như chuỗi</t>
  </si>
  <si>
    <t>HTS-1: Phiên đăng nhập &amp; Đăng xuất</t>
  </si>
  <si>
    <t>HTS-1-TC-01</t>
  </si>
  <si>
    <t>Logout thành công</t>
  </si>
  <si>
    <t>Preconditions:
Đã đăng nhập
Steps:
1) Click Logout trên navbar
Test Data:
-</t>
  </si>
  <si>
    <t>Đăng xuất thành công; hiển thị nút Login; các trang protected redirect về Login</t>
  </si>
  <si>
    <t>HTS-1-TC-02</t>
  </si>
  <si>
    <t>Sau logout dùng Back không được truy cập lại trang protected</t>
  </si>
  <si>
    <t>Preconditions:
Đã đăng nhập và đã mở trang protected (Dashboard/Departments)
Steps:
1) Logout
2) Bấm Back trên trình duyệt
Test Data:
-</t>
  </si>
  <si>
    <t>Không khôi phục phiên đăng nhập; vẫn redirect về Login hoặc AccessDenied</t>
  </si>
  <si>
    <t>HTS-2: Điều hướng &amp; Menu</t>
  </si>
  <si>
    <t>HTS-2-TC-01</t>
  </si>
  <si>
    <t>returnUrl: login xong quay về đúng trang yêu cầu</t>
  </si>
  <si>
    <t>Preconditions:
-
Steps:
1) Logout
2) Mở /Dashboard (protected)
3) Redirect sang Login
4) Login hợp lệ
Test Data:
Email=admin@hospital.local; Password=Admin@12345</t>
  </si>
  <si>
    <t>Sau login tự quay về /Dashboard (returnUrl) thay vì Home</t>
  </si>
  <si>
    <t>HTS-2-TC-02</t>
  </si>
  <si>
    <t>AccessDenied hiển thị đúng thông báo</t>
  </si>
  <si>
    <t>Preconditions:
Đăng nhập 1 role không đủ quyền (ví dụ Receptionist)
Steps:
1) Mở /Dashboard hoặc /Departments
2) Quan sát trang AccessDenied
Test Data:
Role=Receptionist</t>
  </si>
  <si>
    <t>Trang /Home/AccessDenied; hiển thị 'Bạn không có quyền truy cập trang này.'</t>
  </si>
  <si>
    <t>HTS-2-TC-03</t>
  </si>
  <si>
    <t>Chưa login truy cập trang protected =&gt; redirect Login kèm returnUrl</t>
  </si>
  <si>
    <t>Preconditions:
-
Steps:
1) Logout/clear session
2) Mở /Departments trực tiếp
Test Data:
-</t>
  </si>
  <si>
    <t>Redirect tới /Identity/Account/Login?returnUrl=...; không truy cập được nội dung Departments</t>
  </si>
  <si>
    <t>HTS-3: Phân quyền truy cập (RBAC)</t>
  </si>
  <si>
    <t>HTS-3-TC-01</t>
  </si>
  <si>
    <t>RBAC: Admin được truy cập Danh mục Khoa khám (/Departments)</t>
  </si>
  <si>
    <t>Preconditions:
Đăng nhập với role Admin
Steps:
1) Đăng nhập role Admin
2) Mở trực tiếp URL /Departments
Test Data:
-</t>
  </si>
  <si>
    <t>Truy cập thành công (HTTP 200) và nội dung trang hiển thị đúng</t>
  </si>
  <si>
    <t>HTS-3-TC-02</t>
  </si>
  <si>
    <t>RBAC: Admin được truy cập Danh mục Bác sĩ (/Doctors)</t>
  </si>
  <si>
    <t>Preconditions:
Đăng nhập với role Admin
Steps:
1) Đăng nhập role Admin
2) Mở trực tiếp URL /Doctors
Test Data:
-</t>
  </si>
  <si>
    <t>HTS-3-TC-03</t>
  </si>
  <si>
    <t>RBAC: Admin được truy cập Tiếp nhận bệnh nhân (/Intake/Register)</t>
  </si>
  <si>
    <t>Preconditions:
Đăng nhập với role Admin
Steps:
1) Đăng nhập role Admin
2) Mở trực tiếp URL /Intake/Register
Test Data:
-</t>
  </si>
  <si>
    <t>HTS-3-TC-04</t>
  </si>
  <si>
    <t>RBAC: Admin được truy cập Danh sách chờ phân luồng (/Triage)</t>
  </si>
  <si>
    <t>Preconditions:
Đăng nhập với role Admin
Steps:
1) Đăng nhập role Admin
2) Mở trực tiếp URL /Triage
Test Data:
-</t>
  </si>
  <si>
    <t>HTS-3-TC-05</t>
  </si>
  <si>
    <t>RBAC: Admin được truy cập Dashboard (/Dashboard)</t>
  </si>
  <si>
    <t>Preconditions:
Đăng nhập với role Admin
Steps:
1) Đăng nhập role Admin
2) Mở trực tiếp URL /Dashboard
Test Data:
-</t>
  </si>
  <si>
    <t>HTS-3-TC-06</t>
  </si>
  <si>
    <t>RBAC: Admin được truy cập Báo cáo (/Reports)</t>
  </si>
  <si>
    <t>Preconditions:
Đăng nhập với role Admin
Steps:
1) Đăng nhập role Admin
2) Mở trực tiếp URL /Reports
Test Data:
-</t>
  </si>
  <si>
    <t>HTS-3-TC-07</t>
  </si>
  <si>
    <t>RBAC: Manager được truy cập Danh mục Khoa khám (/Departments)</t>
  </si>
  <si>
    <t>Preconditions:
Đăng nhập với role Manager
Steps:
1) Đăng nhập role Manager
2) Mở trực tiếp URL /Departments
Test Data:
-</t>
  </si>
  <si>
    <t>HTS-3-TC-08</t>
  </si>
  <si>
    <t>RBAC: Manager được truy cập Danh mục Bác sĩ (/Doctors)</t>
  </si>
  <si>
    <t>Preconditions:
Đăng nhập với role Manager
Steps:
1) Đăng nhập role Manager
2) Mở trực tiếp URL /Doctors
Test Data:
-</t>
  </si>
  <si>
    <t>HTS-3-TC-09</t>
  </si>
  <si>
    <t>RBAC: Manager được truy cập Tiếp nhận bệnh nhân (/Intake/Register)</t>
  </si>
  <si>
    <t>Preconditions:
Đăng nhập với role Manager
Steps:
1) Đăng nhập role Manager
2) Mở trực tiếp URL /Intake/Register
Test Data:
-</t>
  </si>
  <si>
    <t>HTS-3-TC-10</t>
  </si>
  <si>
    <t>RBAC: Manager được truy cập Danh sách chờ phân luồng (/Triage)</t>
  </si>
  <si>
    <t>Preconditions:
Đăng nhập với role Manager
Steps:
1) Đăng nhập role Manager
2) Mở trực tiếp URL /Triage
Test Data:
-</t>
  </si>
  <si>
    <t>HTS-3-TC-11</t>
  </si>
  <si>
    <t>RBAC: Manager được truy cập Dashboard (/Dashboard)</t>
  </si>
  <si>
    <t>Preconditions:
Đăng nhập với role Manager
Steps:
1) Đăng nhập role Manager
2) Mở trực tiếp URL /Dashboard
Test Data:
-</t>
  </si>
  <si>
    <t>HTS-3-TC-12</t>
  </si>
  <si>
    <t>RBAC: Manager được truy cập Báo cáo (/Reports)</t>
  </si>
  <si>
    <t>Preconditions:
Đăng nhập với role Manager
Steps:
1) Đăng nhập role Manager
2) Mở trực tiếp URL /Reports
Test Data:
-</t>
  </si>
  <si>
    <t>HTS-3-TC-13</t>
  </si>
  <si>
    <t>RBAC: Receptionist được truy cập Tiếp nhận bệnh nhân (/Intake/Register)</t>
  </si>
  <si>
    <t>Preconditions:
Đăng nhập với role Receptionist
Steps:
1) Đăng nhập role Receptionist
2) Mở trực tiếp URL /Intake/Register
Test Data:
-</t>
  </si>
  <si>
    <t>HTS-3-TC-14</t>
  </si>
  <si>
    <t>RBAC: Nurse được truy cập Danh sách chờ phân luồng (/Triage)</t>
  </si>
  <si>
    <t>Preconditions:
Đăng nhập với role Nurse
Steps:
1) Đăng nhập role Nurse
2) Mở trực tiếp URL /Triage
Test Data:
-</t>
  </si>
  <si>
    <t>HTS-3-TC-15</t>
  </si>
  <si>
    <t>RBAC: Doctor được truy cập Dashboard (/Dashboard)</t>
  </si>
  <si>
    <t>Preconditions:
Đăng nhập với role Doctor
Steps:
1) Đăng nhập role Doctor
2) Mở trực tiếp URL /Dashboard
Test Data:
-</t>
  </si>
  <si>
    <t>HTS-3-TC-16</t>
  </si>
  <si>
    <t>RBAC: Receptionist không được truy cập Danh mục Khoa khám (/Departments)</t>
  </si>
  <si>
    <t>Preconditions:
Đăng nhập với role Receptionist
Steps:
1) Đăng nhập role Receptionist
2) Mở trực tiếp URL /Departments
Test Data:
-</t>
  </si>
  <si>
    <t>Bị chặn: redirect Login (nếu chưa login) hoặc AccessDenied (403) nếu đã login</t>
  </si>
  <si>
    <t>HTS-3-TC-17</t>
  </si>
  <si>
    <t>RBAC: Receptionist không được truy cập Danh mục Bác sĩ (/Doctors)</t>
  </si>
  <si>
    <t>Preconditions:
Đăng nhập với role Receptionist
Steps:
1) Đăng nhập role Receptionist
2) Mở trực tiếp URL /Doctors
Test Data:
-</t>
  </si>
  <si>
    <t>HTS-3-TC-18</t>
  </si>
  <si>
    <t>RBAC: Receptionist không được truy cập Danh sách chờ phân luồng (/Triage)</t>
  </si>
  <si>
    <t>Preconditions:
Đăng nhập với role Receptionist
Steps:
1) Đăng nhập role Receptionist
2) Mở trực tiếp URL /Triage
Test Data:
-</t>
  </si>
  <si>
    <t>HTS-3-TC-19</t>
  </si>
  <si>
    <t>RBAC: Receptionist không được truy cập Dashboard (/Dashboard)</t>
  </si>
  <si>
    <t>Preconditions:
Đăng nhập với role Receptionist
Steps:
1) Đăng nhập role Receptionist
2) Mở trực tiếp URL /Dashboard
Test Data:
-</t>
  </si>
  <si>
    <t>HTS-3-TC-20</t>
  </si>
  <si>
    <t>RBAC: Receptionist không được truy cập Báo cáo (/Reports)</t>
  </si>
  <si>
    <t>Preconditions:
Đăng nhập với role Receptionist
Steps:
1) Đăng nhập role Receptionist
2) Mở trực tiếp URL /Reports
Test Data:
-</t>
  </si>
  <si>
    <t>HTS-3-TC-21</t>
  </si>
  <si>
    <t>RBAC: Nurse không được truy cập Danh mục Khoa khám (/Departments)</t>
  </si>
  <si>
    <t>Preconditions:
Đăng nhập với role Nurse
Steps:
1) Đăng nhập role Nurse
2) Mở trực tiếp URL /Departments
Test Data:
-</t>
  </si>
  <si>
    <t>HTS-3-TC-22</t>
  </si>
  <si>
    <t>RBAC: Nurse không được truy cập Danh mục Bác sĩ (/Doctors)</t>
  </si>
  <si>
    <t>Preconditions:
Đăng nhập với role Nurse
Steps:
1) Đăng nhập role Nurse
2) Mở trực tiếp URL /Doctors
Test Data:
-</t>
  </si>
  <si>
    <t>HTS-3-TC-23</t>
  </si>
  <si>
    <t>RBAC: Nurse không được truy cập Tiếp nhận bệnh nhân (/Intake/Register)</t>
  </si>
  <si>
    <t>Preconditions:
Đăng nhập với role Nurse
Steps:
1) Đăng nhập role Nurse
2) Mở trực tiếp URL /Intake/Register
Test Data:
-</t>
  </si>
  <si>
    <t>HTS-3-TC-24</t>
  </si>
  <si>
    <t>RBAC: Nurse không được truy cập Dashboard (/Dashboard)</t>
  </si>
  <si>
    <t>Preconditions:
Đăng nhập với role Nurse
Steps:
1) Đăng nhập role Nurse
2) Mở trực tiếp URL /Dashboard
Test Data:
-</t>
  </si>
  <si>
    <t>HTS-3-TC-25</t>
  </si>
  <si>
    <t>RBAC: Nurse không được truy cập Báo cáo (/Reports)</t>
  </si>
  <si>
    <t>Preconditions:
Đăng nhập với role Nurse
Steps:
1) Đăng nhập role Nurse
2) Mở trực tiếp URL /Reports
Test Data:
-</t>
  </si>
  <si>
    <t>HTS-3-TC-26</t>
  </si>
  <si>
    <t>RBAC: Doctor không được truy cập Danh mục Khoa khám (/Departments)</t>
  </si>
  <si>
    <t>Preconditions:
Đăng nhập với role Doctor
Steps:
1) Đăng nhập role Doctor
2) Mở trực tiếp URL /Departments
Test Data:
-</t>
  </si>
  <si>
    <t>HTS-3-TC-27</t>
  </si>
  <si>
    <t>RBAC: Doctor không được truy cập Danh mục Bác sĩ (/Doctors)</t>
  </si>
  <si>
    <t>Preconditions:
Đăng nhập với role Doctor
Steps:
1) Đăng nhập role Doctor
2) Mở trực tiếp URL /Doctors
Test Data:
-</t>
  </si>
  <si>
    <t>HTS-3-TC-28</t>
  </si>
  <si>
    <t>RBAC: Doctor không được truy cập Tiếp nhận bệnh nhân (/Intake/Register)</t>
  </si>
  <si>
    <t>Preconditions:
Đăng nhập với role Doctor
Steps:
1) Đăng nhập role Doctor
2) Mở trực tiếp URL /Intake/Register
Test Data:
-</t>
  </si>
  <si>
    <t>HTS-3-TC-29</t>
  </si>
  <si>
    <t>RBAC: Doctor không được truy cập Danh sách chờ phân luồng (/Triage)</t>
  </si>
  <si>
    <t>Preconditions:
Đăng nhập với role Doctor
Steps:
1) Đăng nhập role Doctor
2) Mở trực tiếp URL /Triage
Test Data:
-</t>
  </si>
  <si>
    <t>HTS-3-TC-30</t>
  </si>
  <si>
    <t>RBAC: Doctor không được truy cập Báo cáo (/Reports)</t>
  </si>
  <si>
    <t>Preconditions:
Đăng nhập với role Doctor
Steps:
1) Đăng nhập role Doctor
2) Mở trực tiếp URL /Reports
Test Data:
-</t>
  </si>
  <si>
    <t>HTS-4: Quản lý khoa (Departments)</t>
  </si>
  <si>
    <t>HTS-4-TC-01</t>
  </si>
  <si>
    <t>Tạo khoa mới hợp lệ (IsActive=true, IsGeneral=false)</t>
  </si>
  <si>
    <t>Preconditions:
Đăng nhập Admin hoặc Manager
Steps:
1) Mở /Departments
2) Click 'Tạo mới'
3) Nhập Code hợp lệ (&lt;=20)
4) Nhập Name hợp lệ (&lt;=200)
5) Check IsActive
6) Uncheck IsGeneral
7) Save
Test Data:
Code=QA01; Name=Khoa QA</t>
  </si>
  <si>
    <t>Tạo thành công; redirect về danh sách; thấy dòng mới; trạng thái Active</t>
  </si>
  <si>
    <t>HTS-4-TC-02</t>
  </si>
  <si>
    <t>Tìm kiếm khoa theo Code/Name</t>
  </si>
  <si>
    <t>Preconditions:
Đăng nhập Admin hoặc Manager
Steps:
1) Mở /Departments
2) Nhập keyword vào ô search
3) Click Search
Test Data:
search=GEN</t>
  </si>
  <si>
    <t>Danh sách lọc đúng; hiển thị các dòng khớp keyword</t>
  </si>
  <si>
    <t>HTS-4-TC-03</t>
  </si>
  <si>
    <t>Chuyển IsGeneral sang khoa mới (hệ thống tự bỏ General của khoa cũ)</t>
  </si>
  <si>
    <t>Preconditions:
Đăng nhập Admin hoặc Manager
Steps:
1) Tạo hoặc chọn 1 khoa mới
2) Edit khoa mới
3) Tick IsGeneral
4) Save
5) Kiểm tra GEN không còn General
Test Data:
DeptA.IsGeneral=true</t>
  </si>
  <si>
    <t>Chỉ 1 khoa có badge General; khoa GEN mất badge General</t>
  </si>
  <si>
    <t>HTS-4-TC-04</t>
  </si>
  <si>
    <t>Deactivate khoa (Delete =&gt; IsActive=false)</t>
  </si>
  <si>
    <t>Preconditions:
Đăng nhập Admin hoặc Manager
Steps:
1) Mở /Departments
2) Click Delete trên 1 khoa
3) Confirm
Test Data:
-</t>
  </si>
  <si>
    <t>Khoa không bị xóa khỏi DB mà chuyển IsActive=false; badge Inactive xuất hiện</t>
  </si>
  <si>
    <t>HTS-4-TC-05</t>
  </si>
  <si>
    <t>Create khoa Inactive ngay từ đầu (IsActive=false)</t>
  </si>
  <si>
    <t>Preconditions:
Đăng nhập Admin hoặc Manager
Steps:
1) /Departments -&gt; Tạo mới
2) Nhập Code/Name hợp lệ
3) Uncheck IsActive
4) Save
Test Data:
Code=INA01; Name=Khoa Inactive; IsActive=false</t>
  </si>
  <si>
    <t>Tạo thành công; danh sách hiển thị badge Inactive</t>
  </si>
  <si>
    <t>HTS-4-TC-06</t>
  </si>
  <si>
    <t>Create: Code rỗng</t>
  </si>
  <si>
    <t>Preconditions:
Đăng nhập Admin hoặc Manager
Steps:
1) Mở /Departments
2) Thực hiện thao tác theo Title/Test Data
Test Data:
Code='' Name='Khoa A'</t>
  </si>
  <si>
    <t>Ở lại form; hiển thị lỗi 'Code là bắt buộc'</t>
  </si>
  <si>
    <t>HTS-4-TC-07</t>
  </si>
  <si>
    <t>Create: Name rỗng</t>
  </si>
  <si>
    <t>Preconditions:
Đăng nhập Admin hoặc Manager
Steps:
1) Mở /Departments
2) Thực hiện thao tác theo Title/Test Data
Test Data:
Code='QA02' Name=''</t>
  </si>
  <si>
    <t>Ở lại form; hiển thị lỗi 'Name là bắt buộc'</t>
  </si>
  <si>
    <t>HTS-4-TC-08</t>
  </si>
  <si>
    <t>Create: Code chỉ toàn khoảng trắng</t>
  </si>
  <si>
    <t>Preconditions:
Đăng nhập Admin hoặc Manager
Steps:
1) Mở /Departments
2) Thực hiện thao tác theo Title/Test Data
Test Data:
Code='   ' Name='Khoa A'</t>
  </si>
  <si>
    <t>Ở lại form; hiển thị lỗi 'Mã khoa (Code) là bắt buộc.'</t>
  </si>
  <si>
    <t>HTS-4-TC-09</t>
  </si>
  <si>
    <t>Create: Name chỉ toàn khoảng trắng</t>
  </si>
  <si>
    <t>Preconditions:
Đăng nhập Admin hoặc Manager
Steps:
1) Mở /Departments
2) Thực hiện thao tác theo Title/Test Data
Test Data:
Code='QA03' Name='   '</t>
  </si>
  <si>
    <t>Ở lại form; hiển thị lỗi 'Tên khoa (Name) là bắt buộc.'</t>
  </si>
  <si>
    <t>HTS-4-TC-10</t>
  </si>
  <si>
    <t>Create: Code vượt max length (21 ký tự)</t>
  </si>
  <si>
    <t>Preconditions:
Đăng nhập Admin hoặc Manager
Steps:
1) Mở /Departments
2) Thực hiện thao tác theo Title/Test Data
Test Data:
Code='X'*21 Name='Khoa A'</t>
  </si>
  <si>
    <t>Không tạo; hiển thị lỗi StringLength/max 20</t>
  </si>
  <si>
    <t>HTS-4-TC-11</t>
  </si>
  <si>
    <t>Create: Name vượt max length (201 ký tự)</t>
  </si>
  <si>
    <t>Preconditions:
Đăng nhập Admin hoặc Manager
Steps:
1) Mở /Departments
2) Thực hiện thao tác theo Title/Test Data
Test Data:
Code='QA04' Name='N'*201</t>
  </si>
  <si>
    <t>Không tạo; hiển thị lỗi StringLength/max 200</t>
  </si>
  <si>
    <t>HTS-4-TC-12</t>
  </si>
  <si>
    <t>Create: Duplicate Code</t>
  </si>
  <si>
    <t>Preconditions:
Đăng nhập Admin hoặc Manager
Steps:
1) Mở /Departments
2) Thực hiện thao tác theo Title/Test Data
Test Data:
Code='GEN' Name='Dup'</t>
  </si>
  <si>
    <t>Không tạo; lỗi 'Mã khoa đã tồn tại.'</t>
  </si>
  <si>
    <t>HTS-4-TC-13</t>
  </si>
  <si>
    <t>Edit: Id không hợp lệ (&lt;=0)</t>
  </si>
  <si>
    <t>Preconditions:
Đăng nhập Admin hoặc Manager
Steps:
1) Mở /Departments
2) Thực hiện thao tác theo Title/Test Data
Test Data:
URL=/Departments/Edit/0</t>
  </si>
  <si>
    <t>Redirect danh sách; flash error 'Id không hợp lệ.'</t>
  </si>
  <si>
    <t>HTS-4-TC-14</t>
  </si>
  <si>
    <t>Edit: Id không tồn tại</t>
  </si>
  <si>
    <t>Preconditions:
Đăng nhập Admin hoặc Manager
Steps:
1) Mở /Departments
2) Thực hiện thao tác theo Title/Test Data
Test Data:
URL=/Departments/Edit/999999</t>
  </si>
  <si>
    <t>Redirect danh sách; flash error 'Không tìm thấy khoa.'</t>
  </si>
  <si>
    <t>HTS-4-TC-15</t>
  </si>
  <si>
    <t>Edit: đổi Code thành Code đã tồn tại</t>
  </si>
  <si>
    <t>Preconditions:
Đăng nhập Admin hoặc Manager
Steps:
1) Mở /Departments
2) Thực hiện thao tác theo Title/Test Data
Test Data:
DeptB.Code -&gt; DeptA.Code</t>
  </si>
  <si>
    <t>Không lưu; lỗi 'Mã khoa đã tồn tại.'</t>
  </si>
  <si>
    <t>HTS-4-TC-16</t>
  </si>
  <si>
    <t>XSS: Name chứa &lt;script&gt; không được render raw</t>
  </si>
  <si>
    <t>Preconditions:
Đăng nhập Admin hoặc Manager
Steps:
1) Mở /Departments
2) Thực hiện thao tác theo Title/Test Data
Test Data:
Name='&lt;script&gt;alert(1)&lt;/script&gt;'</t>
  </si>
  <si>
    <t>Danh sách hiển thị dạng encode &amp;lt;script&amp;gt;..., không thực thi JS</t>
  </si>
  <si>
    <t>HTS-4-TC-17</t>
  </si>
  <si>
    <t>Deactivate khoa đang là General (ảnh hưởng fallback) - hệ thống nên cảnh báo</t>
  </si>
  <si>
    <t>Preconditions:
Đăng nhập Admin hoặc Manager
Steps:
1) Đảm bảo GEN là General
2) Delete/Deactivate GEN
3) Tạo 1 visit và triage symptoms không match rule
Test Data:
Dept=GEN</t>
  </si>
  <si>
    <t>Kỳ vọng: hệ thống nên chặn hoặc cảnh báo; nếu không chặn có thể gây lỗi fallback 'Không xác định được khoa khám...'</t>
  </si>
  <si>
    <t>HTS-4-TC-18</t>
  </si>
  <si>
    <t>Search với ký tự đặc biệt không gây lỗi (', %, &lt;, &gt;)</t>
  </si>
  <si>
    <t>Preconditions:
Đăng nhập Admin hoặc Manager
Steps:
1) Mở /Departments
2) Search keyword chứa ký tự đặc biệt
3) Search
Test Data:
search="%_'&lt;&gt;"</t>
  </si>
  <si>
    <t>Hệ thống không crash; không lộ lỗi SQL; kết quả trả về hợp lệ (0 hoặc vài dòng)</t>
  </si>
  <si>
    <t>HTS-5: Quản lý bác sĩ (Doctors)</t>
  </si>
  <si>
    <t>HTS-5-TC-01</t>
  </si>
  <si>
    <t>Tạo bác sĩ hợp lệ</t>
  </si>
  <si>
    <t>Preconditions:
Đăng nhập Admin hoặc Manager
Steps:
1) Mở /Doctors
2) Click 'Tạo mới'
3) Nhập Code (&lt;=20)
4) Nhập Họ tên (&lt;=200)
5) Chọn Khoa
6) Tick IsActive
7) Save
Test Data:
Code=DRQA01; FullName=BS QA; Department=NOI - Khoa Nội</t>
  </si>
  <si>
    <t>Tạo thành công; redirect danh sách; hiển thị dòng mới</t>
  </si>
  <si>
    <t>HTS-5-TC-02</t>
  </si>
  <si>
    <t>Filter bác sĩ theo keyword + khoa</t>
  </si>
  <si>
    <t>Preconditions:
Đăng nhập Admin hoặc Manager
Steps:
1) Mở /Doctors
2) Nhập keyword
3) Chọn khoa
4) Search
Test Data:
keyword=DR0; department=Khoa Nội</t>
  </si>
  <si>
    <t>Kết quả lọc đúng</t>
  </si>
  <si>
    <t>HTS-5-TC-03</t>
  </si>
  <si>
    <t>Edit bác sĩ đổi tên/khoa</t>
  </si>
  <si>
    <t>Preconditions:
Đăng nhập Admin hoặc Manager
Steps:
1) Chọn 1 bác sĩ
2) Edit
3) Thay FullName/Department
4) Save
Test Data:
FullName=...; Department=NHI</t>
  </si>
  <si>
    <t>Cập nhật thành công; danh sách cập nhật</t>
  </si>
  <si>
    <t>HTS-5-TC-04</t>
  </si>
  <si>
    <t>Deactivate bác sĩ (Delete =&gt; IsActive=false)</t>
  </si>
  <si>
    <t>Preconditions:
Đăng nhập Admin hoặc Manager
Steps:
1) Mở /Doctors
2) Delete 1 bác sĩ
3) Confirm
Test Data:
-</t>
  </si>
  <si>
    <t>Bác sĩ chuyển trạng thái Inactive; không còn active cho phân luồng</t>
  </si>
  <si>
    <t>HTS-5-TC-05</t>
  </si>
  <si>
    <t>Create bác sĩ Inactive và kiểm tra không hiển thị trong dropdown triage</t>
  </si>
  <si>
    <t>Preconditions:
Đăng nhập Admin hoặc Manager
Steps:
1) Tạo bác sĩ mới IsActive=false
2) Mở /Triage/Process/{visitId}
3) Mở dropdown Doctor
Test Data:
Doctor.IsActive=false</t>
  </si>
  <si>
    <t>Bác sĩ inactive không xuất hiện trong dropdown Doctor</t>
  </si>
  <si>
    <t>HTS-5-TC-06</t>
  </si>
  <si>
    <t>Preconditions:
Đăng nhập Admin hoặc Manager
Steps:
1) Mở /Doctors
2) Thực hiện theo Title/Test Data
Test Data:
Code='' FullName='BS A' Dept=NOI</t>
  </si>
  <si>
    <t>Ở lại form; lỗi 'Code là bắt buộc'</t>
  </si>
  <si>
    <t>HTS-5-TC-07</t>
  </si>
  <si>
    <t>Create: FullName rỗng</t>
  </si>
  <si>
    <t>Preconditions:
Đăng nhập Admin hoặc Manager
Steps:
1) Mở /Doctors
2) Thực hiện theo Title/Test Data
Test Data:
Code='DRQA02' FullName='' Dept=NOI</t>
  </si>
  <si>
    <t>Ở lại form; lỗi 'Họ tên là bắt buộc'</t>
  </si>
  <si>
    <t>HTS-5-TC-08</t>
  </si>
  <si>
    <t>Create: Dept không chọn</t>
  </si>
  <si>
    <t>Preconditions:
Đăng nhập Admin hoặc Manager
Steps:
1) Mở /Doctors
2) Thực hiện theo Title/Test Data
Test Data:
Code='DRQA03' FullName='BS A' Dept=''</t>
  </si>
  <si>
    <t>Không lưu; hiển thị lỗi required/invalid Department</t>
  </si>
  <si>
    <t>HTS-5-TC-09</t>
  </si>
  <si>
    <t>Preconditions:
Đăng nhập Admin hoặc Manager
Steps:
1) Mở /Doctors
2) Thực hiện theo Title/Test Data
Test Data:
Code='   ' FullName='BS A' Dept=NOI</t>
  </si>
  <si>
    <t>Lỗi 'Mã bác sĩ (Code) là bắt buộc.'</t>
  </si>
  <si>
    <t>HTS-5-TC-10</t>
  </si>
  <si>
    <t>Create: FullName chỉ toàn khoảng trắng</t>
  </si>
  <si>
    <t>Preconditions:
Đăng nhập Admin hoặc Manager
Steps:
1) Mở /Doctors
2) Thực hiện theo Title/Test Data
Test Data:
Code='DRQA04' FullName='   ' Dept=NOI</t>
  </si>
  <si>
    <t>Lỗi 'Họ tên bác sĩ là bắt buộc.'</t>
  </si>
  <si>
    <t>HTS-5-TC-11</t>
  </si>
  <si>
    <t>Create: Code &gt;20 ký tự</t>
  </si>
  <si>
    <t>Preconditions:
Đăng nhập Admin hoặc Manager
Steps:
1) Mở /Doctors
2) Thực hiện theo Title/Test Data
Test Data:
Code='X'*21</t>
  </si>
  <si>
    <t>Không lưu; lỗi StringLength/max 20</t>
  </si>
  <si>
    <t>HTS-5-TC-12</t>
  </si>
  <si>
    <t>Create: FullName &gt;200 ký tự</t>
  </si>
  <si>
    <t>Preconditions:
Đăng nhập Admin hoặc Manager
Steps:
1) Mở /Doctors
2) Thực hiện theo Title/Test Data
Test Data:
FullName='A'*201</t>
  </si>
  <si>
    <t>Không lưu; lỗi StringLength/max 200</t>
  </si>
  <si>
    <t>HTS-5-TC-13</t>
  </si>
  <si>
    <t>Preconditions:
Đăng nhập Admin hoặc Manager
Steps:
1) Mở /Doctors
2) Thực hiện theo Title/Test Data
Test Data:
Code='DR001'</t>
  </si>
  <si>
    <t>Không lưu; lỗi 'Mã bác sĩ đã tồn tại.'</t>
  </si>
  <si>
    <t>HTS-5-TC-14</t>
  </si>
  <si>
    <t>Create: DepartmentId không tồn tại (force)</t>
  </si>
  <si>
    <t>Preconditions:
Đăng nhập Admin hoặc Manager
Steps:
1) Mở /Doctors
2) Thực hiện theo Title/Test Data
Test Data:
DepartmentId=999999</t>
  </si>
  <si>
    <t>Không lưu; lỗi 'Khoa khám không tồn tại.'</t>
  </si>
  <si>
    <t>HTS-5-TC-15</t>
  </si>
  <si>
    <t>Edit: Id không hợp lệ (0)</t>
  </si>
  <si>
    <t>Preconditions:
Đăng nhập Admin hoặc Manager
Steps:
1) Mở /Doctors
2) Thực hiện theo Title/Test Data
Test Data:
URL=/Doctors/Edit/0</t>
  </si>
  <si>
    <t>HTS-5-TC-16</t>
  </si>
  <si>
    <t>Preconditions:
Đăng nhập Admin hoặc Manager
Steps:
1) Mở /Doctors
2) Thực hiện theo Title/Test Data
Test Data:
URL=/Doctors/Edit/999999</t>
  </si>
  <si>
    <t>Redirect danh sách; flash error 'Không tìm thấy bác sĩ.'</t>
  </si>
  <si>
    <t>HTS-5-TC-17</t>
  </si>
  <si>
    <t>Edit: đổi Code trùng Code đã tồn tại</t>
  </si>
  <si>
    <t>Preconditions:
Đăng nhập Admin hoặc Manager
Steps:
1) Mở /Doctors
2) Thực hiện theo Title/Test Data
Test Data:
DoctorB.Code -&gt; DoctorA.Code</t>
  </si>
  <si>
    <t>HTS-5-TC-18</t>
  </si>
  <si>
    <t>Search/filter bác sĩ với ký tự đặc biệt không gây lỗi</t>
  </si>
  <si>
    <t>Preconditions:
Đăng nhập Admin hoặc Manager
Steps:
1) /Doctors
2) Nhập keyword đặc biệt
3) Search
Test Data:
keyword="%_'&lt;&gt;"</t>
  </si>
  <si>
    <t>Không crash; không lộ lỗi SQL; kết quả hợp lệ</t>
  </si>
  <si>
    <t>HTS-6: Tiếp nhận bệnh nhân (Intake)</t>
  </si>
  <si>
    <t>HTS-6-TC-01</t>
  </si>
  <si>
    <t>Tiếp nhận bệnh nhân mới hợp lệ (tạo Patient + Visit)</t>
  </si>
  <si>
    <t>Preconditions:
Đăng nhập Receptionist/Manager/Admin
Steps:
1) Mở /Intake/Register
2) Nhập FullName
3) Chọn DateOfBirth
4) Chọn Gender
5) (Optional) Nhập IdentityNumber/Phone/Address
6) Submit
Test Data:
FullName=Nguyễn Văn X; DOB=2000-01-01; Gender=Nam</t>
  </si>
  <si>
    <t>Redirect Result; hiển thị VisitId, QueueNumber; trạng thái Visit=WaitingTriage</t>
  </si>
  <si>
    <t>HTS-6-TC-02</t>
  </si>
  <si>
    <t>Tiếp nhận bệnh nhân cũ theo IdentityNumber (Upsert)</t>
  </si>
  <si>
    <t>Preconditions:
Đăng nhập Receptionist/Manager/Admin
Steps:
1) Tiếp nhận BN với IdentityNumber=X
2) Tiếp nhận lại với IdentityNumber=X nhưng FullName khác
3) Submit
Test Data:
IdentityNumber=0123456789</t>
  </si>
  <si>
    <t>Result hiển thị Existing; Patient không tạo mới mà update thông tin; Visit mới vẫn tạo</t>
  </si>
  <si>
    <t>HTS-6-TC-03</t>
  </si>
  <si>
    <t>QueueNumber tăng dần theo ngày</t>
  </si>
  <si>
    <t>Preconditions:
Đăng nhập Receptionist/Manager/Admin
Steps:
1) Tiếp nhận nhiều BN trong cùng ngày
2) Quan sát QueueNumber trên Result
Test Data:
-</t>
  </si>
  <si>
    <t>QueueNumber tăng dần (1,2,3...)</t>
  </si>
  <si>
    <t>HTS-6-TC-04</t>
  </si>
  <si>
    <t>Trim input: FullName có khoảng trắng đầu/cuối vẫn được lưu chuẩn hóa</t>
  </si>
  <si>
    <t>Preconditions:
Đăng nhập Receptionist/Manager/Admin
Steps:
1) /Intake/Register
2) Nhập FullName='  Nguyễn Văn A  '
3) Submit
4) Quan sát FullName trên Result hoặc dashboard
Test Data:
FullName='  Nguyễn Văn A  '</t>
  </si>
  <si>
    <t>Hệ thống trim và lưu 'Nguyễn Văn A' (không có khoảng trắng thừa)</t>
  </si>
  <si>
    <t>HTS-6-TC-05</t>
  </si>
  <si>
    <t>FullName rỗng</t>
  </si>
  <si>
    <t>Preconditions:
Đăng nhập Receptionist/Manager/Admin
Steps:
1) Mở /Intake/Register
2) Nhập dữ liệu theo Test Data
3) Submit
Test Data:
FullName=''</t>
  </si>
  <si>
    <t>Không submit; hiển thị 'Họ tên là bắt buộc'</t>
  </si>
  <si>
    <t>HTS-6-TC-06</t>
  </si>
  <si>
    <t>FullName chỉ toàn khoảng trắng</t>
  </si>
  <si>
    <t>Preconditions:
Đăng nhập Receptionist/Manager/Admin
Steps:
1) Mở /Intake/Register
2) Nhập dữ liệu theo Test Data
3) Submit
Test Data:
FullName='   '</t>
  </si>
  <si>
    <t>Không tạo; hiển thị lỗi service 'Họ tên bệnh nhân là bắt buộc.'</t>
  </si>
  <si>
    <t>HTS-6-TC-07</t>
  </si>
  <si>
    <t>FullName &gt;200 ký tự</t>
  </si>
  <si>
    <t>Preconditions:
Đăng nhập Receptionist/Manager/Admin
Steps:
1) Mở /Intake/Register
2) Nhập dữ liệu theo Test Data
3) Submit
Test Data:
FullName='N'*201</t>
  </si>
  <si>
    <t>Không tạo; lỗi StringLength/max 200</t>
  </si>
  <si>
    <t>HTS-6-TC-08</t>
  </si>
  <si>
    <t>DateOfBirth rỗng (clear input)</t>
  </si>
  <si>
    <t>Preconditions:
Đăng nhập Receptionist/Manager/Admin
Steps:
1) Mở /Intake/Register
2) Nhập dữ liệu theo Test Data
3) Submit
Test Data:
DateOfBirth=''</t>
  </si>
  <si>
    <t>Không tạo; lỗi service 'Ngày sinh không hợp lệ.'</t>
  </si>
  <si>
    <t>HTS-6-TC-09</t>
  </si>
  <si>
    <t>IdentityNumber &gt;50 ký tự</t>
  </si>
  <si>
    <t>Preconditions:
Đăng nhập Receptionist/Manager/Admin
Steps:
1) Mở /Intake/Register
2) Nhập dữ liệu theo Test Data
3) Submit
Test Data:
IdentityNumber='9'*51</t>
  </si>
  <si>
    <t>Không tạo; lỗi StringLength/max 50</t>
  </si>
  <si>
    <t>HTS-6-TC-10</t>
  </si>
  <si>
    <t>Phone &gt;30 ký tự</t>
  </si>
  <si>
    <t>Preconditions:
Đăng nhập Receptionist/Manager/Admin
Steps:
1) Mở /Intake/Register
2) Nhập dữ liệu theo Test Data
3) Submit
Test Data:
Phone='1'*31</t>
  </si>
  <si>
    <t>Không tạo; lỗi StringLength/max 30</t>
  </si>
  <si>
    <t>HTS-6-TC-11</t>
  </si>
  <si>
    <t>Address &gt;500 ký tự</t>
  </si>
  <si>
    <t>Preconditions:
Đăng nhập Receptionist/Manager/Admin
Steps:
1) Mở /Intake/Register
2) Nhập dữ liệu theo Test Data
3) Submit
Test Data:
Address='A'*501</t>
  </si>
  <si>
    <t>Không tạo; lỗi StringLength/max 500</t>
  </si>
  <si>
    <t>HTS-6-TC-12</t>
  </si>
  <si>
    <t>InsuranceNumber &gt;50 ký tự</t>
  </si>
  <si>
    <t>Preconditions:
Đăng nhập Receptionist/Manager/Admin
Steps:
1) Mở /Intake/Register
2) Nhập dữ liệu theo Test Data
3) Submit
Test Data:
InsuranceNumber='I'*51</t>
  </si>
  <si>
    <t>HTS-6-TC-13</t>
  </si>
  <si>
    <t>Unauthorized: Nurse truy cập /Intake/Register</t>
  </si>
  <si>
    <t>Preconditions:
Đăng nhập với role tương ứng
Steps:
1) Mở /Intake/Register
2) Nhập dữ liệu theo Test Data
3) Submit
Test Data:
Role=Nurse</t>
  </si>
  <si>
    <t>AccessDenied</t>
  </si>
  <si>
    <t>HTS-6-TC-14</t>
  </si>
  <si>
    <t>Unauthorized: Doctor truy cập /Intake/Register</t>
  </si>
  <si>
    <t>Preconditions:
Đăng nhập với role tương ứng
Steps:
1) Mở /Intake/Register
2) Nhập dữ liệu theo Test Data
3) Submit
Test Data:
Role=Doctor</t>
  </si>
  <si>
    <t>HTS-6-TC-15</t>
  </si>
  <si>
    <t>DateOfBirth ở tương lai (future date) - hệ thống nên chặn</t>
  </si>
  <si>
    <t>Preconditions:
Đăng nhập Receptionist/Manager/Admin
Steps:
1) /Intake/Register
2) Nhập DOB = ngày tương lai
3) Submit
Test Data:
DOB=today+1</t>
  </si>
  <si>
    <t>Kỳ vọng: báo lỗi ngày sinh không hợp lệ (hoặc chặn). Nếu app cho qua =&gt; bug/requirement gap</t>
  </si>
  <si>
    <t>HTS-6-TC-16</t>
  </si>
  <si>
    <t>Gender không chọn (nếu UI có option trống) - hệ thống phải báo lỗi</t>
  </si>
  <si>
    <t>Preconditions:
Đăng nhập Receptionist/Manager/Admin
Steps:
1) /Intake/Register
2) Không chọn Gender hoặc để Unknown
3) Submit
Test Data:
Gender='(blank/Unknown)'</t>
  </si>
  <si>
    <t>Báo lỗi 'Giới tính là bắt buộc' hoặc tương đương; không tạo visit</t>
  </si>
  <si>
    <t>HTS-7: Phân luồng (Triage)</t>
  </si>
  <si>
    <t>HTS-7-TC-01</t>
  </si>
  <si>
    <t>Mở danh sách chờ phân luồng</t>
  </si>
  <si>
    <t>Preconditions:
Đăng nhập Nurse/Manager/Admin và có Visit đang WaitingTriage
Steps:
1) Login Nurse
2) Mở /Triage
Test Data:
-</t>
  </si>
  <si>
    <t>Hiển thị bảng các lượt khám đang chờ phân luồng (WaitingTriage)</t>
  </si>
  <si>
    <t>HTS-7-TC-02</t>
  </si>
  <si>
    <t>Phân luồng theo rule: triệu chứng chứa từ khóa 'ngực' -&gt; Khoa Nội</t>
  </si>
  <si>
    <t>Preconditions:
Đăng nhập Nurse/Manager/Admin và có Visit đang WaitingTriage
Steps:
1) Tạo 1 Visit mới
2) Nurse mở /Triage
3) Click 'Phân luồng'
4) Nhập Symptoms có chứa 'ngực'
5) Submit
Test Data:
Symptoms='Đau ngực, khó thở'</t>
  </si>
  <si>
    <t>Visit chuyển trạng thái WaitingDoctor; Department=Khoa Nội; hiển thị Success</t>
  </si>
  <si>
    <t>HTS-7-TC-03</t>
  </si>
  <si>
    <t>Fallback: không match rule -&gt; General Department</t>
  </si>
  <si>
    <t>Preconditions:
Đăng nhập Nurse/Manager/Admin và có Visit đang WaitingTriage
Steps:
1) Tạo Visit mới
2) Nhập Symptoms không match rule
3) Submit
Test Data:
Symptoms='nhức đầu nhẹ'</t>
  </si>
  <si>
    <t>Nếu có GEN General: Visit chuyển WaitingDoctor; Department=Khoa Tổng Quát</t>
  </si>
  <si>
    <t>HTS-7-TC-04</t>
  </si>
  <si>
    <t>Chọn bác sĩ cụ thể khi phân luồng</t>
  </si>
  <si>
    <t>Preconditions:
Đăng nhập Nurse/Manager/Admin và có Visit đang WaitingTriage
Steps:
1) Tạo Visit mới
2) Process triage
3) Chọn Doctor từ dropdown
4) Submit
Test Data:
Doctor=BS Nguyễn Văn A (DR001)</t>
  </si>
  <si>
    <t>Visit được gán DoctorId; Dashboard bác sĩ tương ứng thấy visit</t>
  </si>
  <si>
    <t>HTS-7-TC-05</t>
  </si>
  <si>
    <t>Override rule: Nurse chọn khoa thủ công khác rule engine</t>
  </si>
  <si>
    <t>Preconditions:
Đăng nhập Nurse/Manager/Admin và có Visit đang WaitingTriage
Steps:
1) Tạo Visit mới
2) Process triage
3) Nhập Symptoms match Khoa Nội
4) Nhưng chọn Department=Khoa Ngoại
5) Submit
Test Data:
Symptoms='Đau ngực'; DepartmentOverride=Khoa Ngoại</t>
  </si>
  <si>
    <t>Visit được gán khoa theo lựa chọn của nurse (khoa override), không theo rule engine</t>
  </si>
  <si>
    <t>HTS-7-TC-06</t>
  </si>
  <si>
    <t>Sau phân luồng thành công, visit biến mất khỏi WaitingTriage list</t>
  </si>
  <si>
    <t>Preconditions:
Đăng nhập Nurse/Manager/Admin và có Visit đang WaitingTriage
Steps:
1) Tạo Visit
2) Triage submit thành công
3) Mở lại /Triage
4) Search theo tên BN/Queue
Test Data:
-</t>
  </si>
  <si>
    <t>Visit không còn xuất hiện trong danh sách chờ phân luồng</t>
  </si>
  <si>
    <t>HTS-7-TC-07</t>
  </si>
  <si>
    <t>Process: id=0 (invalid)</t>
  </si>
  <si>
    <t>Preconditions:
Đăng nhập Nurse/Manager/Admin và có Visit đang WaitingTriage
Steps:
1) Thực hiện thao tác theo Title/Test Data
Test Data:
URL=/Triage/Process/0</t>
  </si>
  <si>
    <t>Redirect /Triage; flash error 'Vui lòng chọn lượt khám để phân luồng.'</t>
  </si>
  <si>
    <t>HTS-7-TC-08</t>
  </si>
  <si>
    <t>Process: id không tồn tại</t>
  </si>
  <si>
    <t>Preconditions:
Đăng nhập Nurse/Manager/Admin và có Visit đang WaitingTriage
Steps:
1) Thực hiện thao tác theo Title/Test Data
Test Data:
URL=/Triage/Process/999999</t>
  </si>
  <si>
    <t>Redirect /Triage; flash error 'Không tìm thấy lượt khám.'</t>
  </si>
  <si>
    <t>HTS-7-TC-09</t>
  </si>
  <si>
    <t>Submit: Symptoms rỗng</t>
  </si>
  <si>
    <t>Preconditions:
Đăng nhập Nurse/Manager/Admin và có Visit đang WaitingTriage
Steps:
1) Thực hiện thao tác theo Title/Test Data
Test Data:
Symptoms=''</t>
  </si>
  <si>
    <t>Ở lại Process; lỗi 'Triệu chứng là bắt buộc'</t>
  </si>
  <si>
    <t>HTS-7-TC-10</t>
  </si>
  <si>
    <t>Submit: Symptoms chỉ toàn khoảng trắng</t>
  </si>
  <si>
    <t>Preconditions:
Đăng nhập Nurse/Manager/Admin và có Visit đang WaitingTriage
Steps:
1) Thực hiện thao tác theo Title/Test Data
Test Data:
Symptoms='   '</t>
  </si>
  <si>
    <t>Ở lại Process; lỗi service 'Triệu chứng ban đầu là bắt buộc.'</t>
  </si>
  <si>
    <t>HTS-7-TC-11</t>
  </si>
  <si>
    <t>Submit: Symptoms &gt;2000 ký tự</t>
  </si>
  <si>
    <t>Preconditions:
Đăng nhập Nurse/Manager/Admin và có Visit đang WaitingTriage
Steps:
1) Thực hiện thao tác theo Title/Test Data
Test Data:
Symptoms='A'*2001</t>
  </si>
  <si>
    <t>Không submit; lỗi StringLength/max 2000</t>
  </si>
  <si>
    <t>HTS-7-TC-12</t>
  </si>
  <si>
    <t>Fallback khi không có General Department</t>
  </si>
  <si>
    <t>Preconditions:
Admin có quyền sửa Department GEN
Steps:
1) Thực hiện thao tác theo Title/Test Data
Test Data:
Setup: set GEN.IsGeneral=false; Symptoms không match</t>
  </si>
  <si>
    <t>Ở lại Process; lỗi 'Không xác định được khoa khám (không có Khoa Tổng Quát).'</t>
  </si>
  <si>
    <t>HTS-7-TC-13</t>
  </si>
  <si>
    <t>Unauthorized: Receptionist truy cập /Triage</t>
  </si>
  <si>
    <t>Preconditions:
Đăng nhập role tương ứng
Steps:
1) Thực hiện thao tác theo Title/Test Data
Test Data:
Role=Receptionist</t>
  </si>
  <si>
    <t>HTS-7-TC-14</t>
  </si>
  <si>
    <t>Unauthorized: Doctor truy cập /Triage</t>
  </si>
  <si>
    <t>Preconditions:
Đăng nhập role tương ứng
Steps:
1) Thực hiện thao tác theo Title/Test Data
Test Data:
Role=Doctor</t>
  </si>
  <si>
    <t>HTS-7-TC-15</t>
  </si>
  <si>
    <t>Double-submit: refresh/submit lại Process sau khi đã triage (idempotency)</t>
  </si>
  <si>
    <t>Preconditions:
Có Visit vừa triage xong (WaitingDoctor)
Steps:
1) Mở lại URL /Triage/Process/{visitId}
2) Submit lần nữa
Test Data:
-</t>
  </si>
  <si>
    <t>Kỳ vọng: hệ thống xử lý an toàn (không tạo status history sai, không crash). Nếu UI nên chặn/redirect</t>
  </si>
  <si>
    <t>HTS-8: Dashboard</t>
  </si>
  <si>
    <t>HTS-8-TC-01</t>
  </si>
  <si>
    <t>Dashboard Admin/Manager: xem tổng quan số lượt khám theo trạng thái</t>
  </si>
  <si>
    <t>Preconditions:
Đăng nhập Admin/Manager hoặc Doctor
Steps:
1) Login Admin
2) Mở /Dashboard
Test Data:
-</t>
  </si>
  <si>
    <t>Hiển thị các card thống kê: WaitingTriage, WaitingDoctor, Completed, Total</t>
  </si>
  <si>
    <t>HTS-8-TC-02</t>
  </si>
  <si>
    <t>Dashboard Admin/Manager: filter theo khoa</t>
  </si>
  <si>
    <t>Preconditions:
Đăng nhập Admin/Manager hoặc Doctor
Steps:
1) Login Admin
2) Mở /Dashboard
3) Chọn khoa từ dropdown
4) Apply filter
Test Data:
Department=Khoa Nội</t>
  </si>
  <si>
    <t>Bảng lượt khám chỉ hiển thị của khoa đó</t>
  </si>
  <si>
    <t>HTS-8-TC-03</t>
  </si>
  <si>
    <t>Dashboard Doctor: chỉ xem lượt khám của khoa mình, không chọn khoa</t>
  </si>
  <si>
    <t>Preconditions:
Đăng nhập Admin/Manager hoặc Doctor
Steps:
1) Login Doctor
2) Mở /Dashboard
Test Data:
-</t>
  </si>
  <si>
    <t>Không có dropdown chọn khoa; chỉ hiển thị lượt khám khoa của doctor</t>
  </si>
  <si>
    <t>HTS-8-TC-04</t>
  </si>
  <si>
    <t>Doctor Dashboard: hiển thị đúng DeptName = khoa của doctor</t>
  </si>
  <si>
    <t>Preconditions:
Đăng nhập Doctor (DR001)
Steps:
1) /Dashboard
2) Quan sát tiêu đề khoa / DeptName
Test Data:
-</t>
  </si>
  <si>
    <t>DeptName hiển thị đúng theo Doctor.DepartmentId</t>
  </si>
  <si>
    <t>HTS-8-TC-05</t>
  </si>
  <si>
    <t>Unauthorized: Receptionist truy cập /Dashboard</t>
  </si>
  <si>
    <t>Preconditions:
Đăng nhập role tương ứng
Steps:
1) Đăng nhập
2) Mở URL theo Test Data
3) Quan sát kết quả
Test Data:
Role=Receptionist</t>
  </si>
  <si>
    <t>HTS-8-TC-06</t>
  </si>
  <si>
    <t>Unauthorized: Nurse truy cập /Dashboard</t>
  </si>
  <si>
    <t>Preconditions:
Đăng nhập role tương ứng
Steps:
1) Đăng nhập
2) Mở URL theo Test Data
3) Quan sát kết quả
Test Data:
Role=Nurse</t>
  </si>
  <si>
    <t>HTS-8-TC-07</t>
  </si>
  <si>
    <t>Doctor cố tình truyền query departmentId khác (bypass)</t>
  </si>
  <si>
    <t>Preconditions:
Đăng nhập role tương ứng
Steps:
1) Đăng nhập
2) Mở URL theo Test Data
3) Quan sát kết quả
Test Data:
URL=/Dashboard?departmentId=&lt;other&gt;</t>
  </si>
  <si>
    <t>Hệ thống bỏ qua hoặc vẫn chỉ hiển thị khoa của doctor; không leak dữ liệu</t>
  </si>
  <si>
    <t>HTS-8-TC-08</t>
  </si>
  <si>
    <t>Doctor account không map được Doctor.Code =&gt; hệ thống nên báo lỗi rõ ràng</t>
  </si>
  <si>
    <t>Preconditions:
Tạo 1 user Doctor có email không map tới Doctor.Code (ví dụ DR999@...)
Steps:
1) Login user Doctor mới
2) /Dashboard
Test Data:
Doctor email=DR999@hospital.local</t>
  </si>
  <si>
    <t>Kỳ vọng: thông báo lỗi/empty state thay vì crash; nếu crash =&gt; bug</t>
  </si>
  <si>
    <t>HTS-9: Báo cáo (Reports)</t>
  </si>
  <si>
    <t>HTS-9-TC-01</t>
  </si>
  <si>
    <t>Chạy báo cáo hợp lệ (from&lt;=to)</t>
  </si>
  <si>
    <t>Preconditions:
Đăng nhập Manager/Admin
Steps:
1) Login Manager
2) Mở /Reports
3) Chọn FromDate/ToDate hợp lệ
4) (Optional) Chọn khoa
5) Click 'Chạy báo cáo'
Test Data:
From=today-7; To=today</t>
  </si>
  <si>
    <t>Hiển thị phần Kết quả: Visits per day, Top symptoms, Top departments (tùy data)</t>
  </si>
  <si>
    <t>HTS-9-TC-02</t>
  </si>
  <si>
    <t>Export CSV khi đã có kết quả</t>
  </si>
  <si>
    <t>Preconditions:
Đăng nhập Manager/Admin
Steps:
1) Chạy báo cáo
2) Click 'Export CSV'
Test Data:
-</t>
  </si>
  <si>
    <t>Trình duyệt tải file CSV; nội dung đúng headers: Date, Count</t>
  </si>
  <si>
    <t>HTS-9-TC-03</t>
  </si>
  <si>
    <t>Báo cáo filter theo khoa</t>
  </si>
  <si>
    <t>Preconditions:
Đăng nhập Manager/Admin
Steps:
1) /Reports
2) Chọn Department=Khoa Nội
3) Run report
Test Data:
Department=NOI</t>
  </si>
  <si>
    <t>Kết quả chỉ thống kê của khoa đã chọn</t>
  </si>
  <si>
    <t>HTS-9-TC-04</t>
  </si>
  <si>
    <t>FromDate &gt; ToDate</t>
  </si>
  <si>
    <t>Preconditions:
Đăng nhập Manager/Admin
Steps:
1) Mở /Reports
2) Thiết lập filter theo Test Data
3) Run/Export
4) Quan sát lỗi
Test Data:
From=today; To=today-1</t>
  </si>
  <si>
    <t>Không tạo báo cáo; hiển thị lỗi 'Khoảng ngày không hợp lệ.'</t>
  </si>
  <si>
    <t>HTS-9-TC-05</t>
  </si>
  <si>
    <t>FromDate rỗng</t>
  </si>
  <si>
    <t>Preconditions:
Đăng nhập Manager/Admin
Steps:
1) Mở /Reports
2) Thiết lập filter theo Test Data
3) Run/Export
4) Quan sát lỗi
Test Data:
FromDate=''</t>
  </si>
  <si>
    <t>Không tạo báo cáo; lỗi required hoặc 'Khoảng ngày không hợp lệ.'</t>
  </si>
  <si>
    <t>HTS-9-TC-06</t>
  </si>
  <si>
    <t>ToDate rỗng</t>
  </si>
  <si>
    <t>Preconditions:
Đăng nhập Manager/Admin
Steps:
1) Mở /Reports
2) Thiết lập filter theo Test Data
3) Run/Export
4) Quan sát lỗi
Test Data:
ToDate=''</t>
  </si>
  <si>
    <t>HTS-9-TC-07</t>
  </si>
  <si>
    <t>DepartmentId không tồn tại (force query)</t>
  </si>
  <si>
    <t>Preconditions:
Đăng nhập Manager/Admin
Steps:
1) Mở /Reports
2) Thiết lập filter theo Test Data
3) Run/Export
4) Quan sát lỗi
Test Data:
departmentId=999999</t>
  </si>
  <si>
    <t>Không tạo báo cáo; lỗi 'Không tìm thấy khoa.'</t>
  </si>
  <si>
    <t>HTS-9-TC-08</t>
  </si>
  <si>
    <t>Export CSV với range không hợp lệ</t>
  </si>
  <si>
    <t>Preconditions:
Đăng nhập Manager/Admin
Steps:
1) Mở /Reports
2) Thiết lập filter theo Test Data
3) Run/Export
4) Quan sát lỗi
Test Data:
GET /Reports/ExportCsv?fromDate=today&amp;toDate=today-1</t>
  </si>
  <si>
    <t>Redirect /Reports; flash error 'Khoảng ngày không hợp lệ.'</t>
  </si>
  <si>
    <t>HTS-9-TC-09</t>
  </si>
  <si>
    <t>Unauthorized: Nurse truy cập /Reports</t>
  </si>
  <si>
    <t>Preconditions:
Đăng nhập role tương ứng
Steps:
1) Mở /Reports
2) Thiết lập filter theo Test Data
3) Run/Export
4) Quan sát lỗi
Test Data:
Role=Nurse</t>
  </si>
  <si>
    <t>HTS-9-TC-10</t>
  </si>
  <si>
    <t>Unauthorized: Doctor truy cập /Reports</t>
  </si>
  <si>
    <t>Preconditions:
Đăng nhập role tương ứng
Steps:
1) Mở /Reports
2) Thiết lập filter theo Test Data
3) Run/Export
4) Quan sát lỗi
Test Data:
Role=Doctor</t>
  </si>
  <si>
    <t>HTS-9-TC-11</t>
  </si>
  <si>
    <t>Range quá lớn (ví dụ 5 năm) - hệ thống không timeout/crash</t>
  </si>
  <si>
    <t>Preconditions:
Đăng nhập Manager/Admin
Steps:
1) /Reports
2) FromDate=today-1825
3) ToDate=today
4) Run report
Test Data:
From=today-1825; To=today</t>
  </si>
  <si>
    <t>Hệ thống phản hồi trong thời gian hợp lý hoặc có cơ chế giới hạn; không crash</t>
  </si>
  <si>
    <t>TEST REPORT SUMMARY</t>
  </si>
  <si>
    <t>Total</t>
  </si>
  <si>
    <t>HTS-0 - Đăng nhập hệ thống</t>
  </si>
  <si>
    <t>HTS-1 - Phiên đăng nhập &amp; Đăng xuất</t>
  </si>
  <si>
    <t>HTS-2 - Điều hướng &amp; Menu</t>
  </si>
  <si>
    <t>HTS-3 - Phân quyền truy cập (RBAC)</t>
  </si>
  <si>
    <t>HTS-4 - Quản lý khoa (Departments)</t>
  </si>
  <si>
    <t>HTS-5 - Quản lý bác sĩ (Doctors)</t>
  </si>
  <si>
    <t>HTS-6 - Tiếp nhận bệnh nhân (Intake)</t>
  </si>
  <si>
    <t>HTS-7 - Phân luồng (Triage)</t>
  </si>
  <si>
    <t>HTS-8 - Dashboard</t>
  </si>
  <si>
    <t>HTS-9 - Báo cáo (Reports)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</si>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</sst>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20"/>
      <color rgb="FF1F4E79"/>
      <name val="Calibri"/>
    </font>
    <font>
      <sz val="11"/>
      <color rgb="FF555555"/>
      <name val="Calibri"/>
    </font>
    <font>
      <b/>
      <sz val="11"/>
      <name val="Calibri"/>
    </font>
    <font>
      <b/>
      <sz val="18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rgb="FF1F4E79"/>
      <name val="Calibri"/>
    </font>
    <font>
      <b/>
      <sz val="11"/>
      <color rgb="FF000000"/>
      <name val="Calibri"/>
    </font>
    <font>
      <b/>
      <sz val="18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1F4E79"/>
      <name val="Times New Roman"/>
      <family val="1"/>
    </font>
    <font>
      <b/>
      <sz val="11"/>
      <color rgb="FF000000"/>
      <name val="Times New Roman"/>
      <family val="1"/>
    </font>
    <font>
      <sz val="11"/>
      <name val="Calibri"/>
      <family val="2"/>
    </font>
    <font>
      <b/>
      <sz val="18"/>
      <color rgb="FF1F4E7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/>
    <xf numFmtId="0" fontId="8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4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4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/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workbookViewId="0">
      <selection activeCell="B15" sqref="A4:B15"/>
    </sheetView>
  </sheetViews>
  <sheetFormatPr defaultRowHeight="15" x14ac:dyDescent="0.25"/>
  <cols>
    <col min="1" max="1" width="20" customWidth="1"/>
    <col min="2" max="2" width="70" customWidth="1"/>
  </cols>
  <sheetData>
    <row r="1" spans="1:2" ht="26.25" x14ac:dyDescent="0.4">
      <c r="A1" s="1" t="s">
        <v>0</v>
      </c>
    </row>
    <row r="2" spans="1:2" x14ac:dyDescent="0.25">
      <c r="A2" s="13"/>
      <c r="B2" s="14"/>
    </row>
    <row r="4" spans="1:2" x14ac:dyDescent="0.25">
      <c r="A4" s="2" t="s">
        <v>1</v>
      </c>
      <c r="B4" s="2" t="s">
        <v>2</v>
      </c>
    </row>
    <row r="5" spans="1:2" x14ac:dyDescent="0.25">
      <c r="A5" s="2" t="s">
        <v>3</v>
      </c>
      <c r="B5" t="s">
        <v>4</v>
      </c>
    </row>
    <row r="6" spans="1:2" x14ac:dyDescent="0.25">
      <c r="A6" s="2" t="s">
        <v>5</v>
      </c>
      <c r="B6" t="s">
        <v>6</v>
      </c>
    </row>
    <row r="7" spans="1:2" x14ac:dyDescent="0.25">
      <c r="A7" s="2" t="s">
        <v>7</v>
      </c>
      <c r="B7" t="s">
        <v>8</v>
      </c>
    </row>
    <row r="8" spans="1:2" x14ac:dyDescent="0.25">
      <c r="A8" s="2" t="s">
        <v>9</v>
      </c>
      <c r="B8" t="s">
        <v>10</v>
      </c>
    </row>
    <row r="9" spans="1:2" x14ac:dyDescent="0.25">
      <c r="A9" s="2" t="s">
        <v>11</v>
      </c>
      <c r="B9" t="s">
        <v>12</v>
      </c>
    </row>
    <row r="10" spans="1:2" x14ac:dyDescent="0.25">
      <c r="A10" s="2" t="s">
        <v>13</v>
      </c>
      <c r="B10" t="s">
        <v>14</v>
      </c>
    </row>
    <row r="11" spans="1:2" x14ac:dyDescent="0.25">
      <c r="A11" s="2" t="s">
        <v>15</v>
      </c>
      <c r="B11" t="s">
        <v>16</v>
      </c>
    </row>
    <row r="12" spans="1:2" x14ac:dyDescent="0.25">
      <c r="A12" s="2" t="s">
        <v>17</v>
      </c>
      <c r="B12" t="s">
        <v>18</v>
      </c>
    </row>
    <row r="13" spans="1:2" x14ac:dyDescent="0.25">
      <c r="A13" s="2" t="s">
        <v>19</v>
      </c>
      <c r="B13" t="s">
        <v>20</v>
      </c>
    </row>
    <row r="14" spans="1:2" x14ac:dyDescent="0.25">
      <c r="A14" s="2" t="s">
        <v>21</v>
      </c>
      <c r="B14" t="s">
        <v>22</v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showGridLines="0" zoomScale="80" zoomScaleNormal="80" workbookViewId="0">
      <pane ySplit="9" topLeftCell="A15" activePane="bottomLeft" state="frozen"/>
      <selection pane="bottomLeft" activeCell="A2" sqref="A2:XFD2"/>
    </sheetView>
  </sheetViews>
  <sheetFormatPr defaultRowHeight="15" x14ac:dyDescent="0.25"/>
  <cols>
    <col min="1" max="1" width="16" style="20" customWidth="1"/>
    <col min="2" max="2" width="42" style="20" customWidth="1"/>
    <col min="3" max="3" width="60" style="20" customWidth="1"/>
    <col min="4" max="4" width="45" style="20" customWidth="1"/>
    <col min="5" max="5" width="12" style="20" customWidth="1"/>
    <col min="6" max="6" width="17.85546875" style="20" customWidth="1"/>
    <col min="7" max="16384" width="9.140625" style="20"/>
  </cols>
  <sheetData>
    <row r="1" spans="1:6" ht="32.1" customHeight="1" x14ac:dyDescent="0.25">
      <c r="A1" s="18" t="s">
        <v>23</v>
      </c>
      <c r="B1" s="19"/>
      <c r="C1" s="19"/>
      <c r="D1" s="19"/>
      <c r="E1" s="19"/>
      <c r="F1" s="19"/>
    </row>
    <row r="3" spans="1:6" ht="28.5" x14ac:dyDescent="0.25">
      <c r="A3" s="21" t="s">
        <v>24</v>
      </c>
      <c r="B3" s="22" t="s">
        <v>25</v>
      </c>
    </row>
    <row r="4" spans="1:6" ht="28.5" x14ac:dyDescent="0.25">
      <c r="A4" s="21" t="s">
        <v>26</v>
      </c>
      <c r="B4" s="22" t="s">
        <v>3</v>
      </c>
    </row>
    <row r="5" spans="1:6" ht="28.5" x14ac:dyDescent="0.25">
      <c r="A5" s="21" t="s">
        <v>27</v>
      </c>
      <c r="B5" s="22" t="s">
        <v>28</v>
      </c>
    </row>
    <row r="6" spans="1:6" x14ac:dyDescent="0.25">
      <c r="A6" s="21" t="s">
        <v>29</v>
      </c>
      <c r="B6" s="23">
        <f>COUNTIF(E10:E5000,"Pass")</f>
        <v>14</v>
      </c>
      <c r="C6" s="21" t="s">
        <v>30</v>
      </c>
      <c r="D6" s="23">
        <f>COUNTIF(E10:E5000,"Pending")</f>
        <v>0</v>
      </c>
    </row>
    <row r="7" spans="1:6" ht="17.25" customHeight="1" x14ac:dyDescent="0.25">
      <c r="A7" s="21" t="s">
        <v>31</v>
      </c>
      <c r="B7" s="23">
        <f>COUNTIF(E10:E5000,"Fail")</f>
        <v>0</v>
      </c>
      <c r="C7" s="21" t="s">
        <v>32</v>
      </c>
      <c r="D7" s="23">
        <f>COUNTA(A10:A5000)</f>
        <v>14</v>
      </c>
    </row>
    <row r="8" spans="1:6" ht="30" customHeight="1" x14ac:dyDescent="0.25"/>
    <row r="9" spans="1:6" ht="34.5" customHeight="1" x14ac:dyDescent="0.25">
      <c r="A9" s="24" t="s">
        <v>33</v>
      </c>
      <c r="B9" s="24" t="s">
        <v>34</v>
      </c>
      <c r="C9" s="24" t="s">
        <v>35</v>
      </c>
      <c r="D9" s="24" t="s">
        <v>36</v>
      </c>
      <c r="E9" s="24" t="s">
        <v>37</v>
      </c>
      <c r="F9" s="24" t="s">
        <v>38</v>
      </c>
    </row>
    <row r="10" spans="1:6" ht="20.100000000000001" customHeight="1" x14ac:dyDescent="0.25">
      <c r="A10" s="25"/>
      <c r="B10" s="26" t="s">
        <v>39</v>
      </c>
      <c r="C10" s="27"/>
      <c r="D10" s="27"/>
      <c r="E10" s="27"/>
      <c r="F10" s="27"/>
    </row>
    <row r="11" spans="1:6" ht="158.25" customHeight="1" x14ac:dyDescent="0.25">
      <c r="A11" s="28" t="s">
        <v>40</v>
      </c>
      <c r="B11" s="29" t="s">
        <v>41</v>
      </c>
      <c r="C11" s="29" t="s">
        <v>42</v>
      </c>
      <c r="D11" s="29" t="s">
        <v>43</v>
      </c>
      <c r="E11" s="28" t="s">
        <v>29</v>
      </c>
      <c r="F11" s="29"/>
    </row>
    <row r="12" spans="1:6" ht="188.25" customHeight="1" x14ac:dyDescent="0.25">
      <c r="A12" s="28" t="s">
        <v>44</v>
      </c>
      <c r="B12" s="29" t="s">
        <v>45</v>
      </c>
      <c r="C12" s="29" t="s">
        <v>46</v>
      </c>
      <c r="D12" s="29" t="s">
        <v>47</v>
      </c>
      <c r="E12" s="28" t="s">
        <v>29</v>
      </c>
      <c r="F12" s="29"/>
    </row>
    <row r="13" spans="1:6" ht="146.25" customHeight="1" x14ac:dyDescent="0.25">
      <c r="A13" s="28" t="s">
        <v>48</v>
      </c>
      <c r="B13" s="29" t="s">
        <v>49</v>
      </c>
      <c r="C13" s="29" t="s">
        <v>50</v>
      </c>
      <c r="D13" s="29" t="s">
        <v>51</v>
      </c>
      <c r="E13" s="28" t="s">
        <v>29</v>
      </c>
      <c r="F13" s="29"/>
    </row>
    <row r="14" spans="1:6" ht="145.5" customHeight="1" x14ac:dyDescent="0.25">
      <c r="A14" s="28" t="s">
        <v>52</v>
      </c>
      <c r="B14" s="29" t="s">
        <v>53</v>
      </c>
      <c r="C14" s="29" t="s">
        <v>54</v>
      </c>
      <c r="D14" s="29" t="s">
        <v>55</v>
      </c>
      <c r="E14" s="28" t="s">
        <v>29</v>
      </c>
      <c r="F14" s="29"/>
    </row>
    <row r="15" spans="1:6" ht="154.5" customHeight="1" x14ac:dyDescent="0.25">
      <c r="A15" s="28" t="s">
        <v>56</v>
      </c>
      <c r="B15" s="29" t="s">
        <v>57</v>
      </c>
      <c r="C15" s="29" t="s">
        <v>58</v>
      </c>
      <c r="D15" s="29" t="s">
        <v>59</v>
      </c>
      <c r="E15" s="28" t="s">
        <v>29</v>
      </c>
      <c r="F15" s="29"/>
    </row>
    <row r="17" spans="1:6" ht="20.100000000000001" customHeight="1" x14ac:dyDescent="0.25">
      <c r="A17" s="25"/>
      <c r="B17" s="26" t="s">
        <v>60</v>
      </c>
      <c r="C17" s="27"/>
      <c r="D17" s="27"/>
      <c r="E17" s="27"/>
      <c r="F17" s="27"/>
    </row>
    <row r="18" spans="1:6" ht="155.25" customHeight="1" x14ac:dyDescent="0.25">
      <c r="A18" s="28" t="s">
        <v>61</v>
      </c>
      <c r="B18" s="29" t="s">
        <v>62</v>
      </c>
      <c r="C18" s="29" t="s">
        <v>63</v>
      </c>
      <c r="D18" s="29" t="s">
        <v>64</v>
      </c>
      <c r="E18" s="28" t="s">
        <v>29</v>
      </c>
      <c r="F18" s="29"/>
    </row>
    <row r="19" spans="1:6" ht="164.25" customHeight="1" x14ac:dyDescent="0.25">
      <c r="A19" s="28" t="s">
        <v>65</v>
      </c>
      <c r="B19" s="29" t="s">
        <v>66</v>
      </c>
      <c r="C19" s="29" t="s">
        <v>67</v>
      </c>
      <c r="D19" s="29" t="s">
        <v>68</v>
      </c>
      <c r="E19" s="28" t="s">
        <v>29</v>
      </c>
      <c r="F19" s="29"/>
    </row>
    <row r="20" spans="1:6" ht="154.5" customHeight="1" x14ac:dyDescent="0.25">
      <c r="A20" s="28" t="s">
        <v>69</v>
      </c>
      <c r="B20" s="29" t="s">
        <v>70</v>
      </c>
      <c r="C20" s="29" t="s">
        <v>71</v>
      </c>
      <c r="D20" s="29" t="s">
        <v>68</v>
      </c>
      <c r="E20" s="28" t="s">
        <v>29</v>
      </c>
      <c r="F20" s="29"/>
    </row>
    <row r="21" spans="1:6" ht="157.5" customHeight="1" x14ac:dyDescent="0.25">
      <c r="A21" s="28" t="s">
        <v>72</v>
      </c>
      <c r="B21" s="29" t="s">
        <v>73</v>
      </c>
      <c r="C21" s="29" t="s">
        <v>74</v>
      </c>
      <c r="D21" s="29" t="s">
        <v>75</v>
      </c>
      <c r="E21" s="28" t="s">
        <v>29</v>
      </c>
      <c r="F21" s="29"/>
    </row>
    <row r="22" spans="1:6" ht="156" customHeight="1" x14ac:dyDescent="0.25">
      <c r="A22" s="28" t="s">
        <v>76</v>
      </c>
      <c r="B22" s="29" t="s">
        <v>77</v>
      </c>
      <c r="C22" s="29" t="s">
        <v>78</v>
      </c>
      <c r="D22" s="29" t="s">
        <v>79</v>
      </c>
      <c r="E22" s="28" t="s">
        <v>29</v>
      </c>
      <c r="F22" s="29"/>
    </row>
    <row r="23" spans="1:6" ht="171" customHeight="1" x14ac:dyDescent="0.25">
      <c r="A23" s="28" t="s">
        <v>80</v>
      </c>
      <c r="B23" s="29" t="s">
        <v>81</v>
      </c>
      <c r="C23" s="29" t="s">
        <v>82</v>
      </c>
      <c r="D23" s="29" t="s">
        <v>83</v>
      </c>
      <c r="E23" s="28" t="s">
        <v>29</v>
      </c>
      <c r="F23" s="29"/>
    </row>
    <row r="24" spans="1:6" ht="158.25" customHeight="1" x14ac:dyDescent="0.25">
      <c r="A24" s="28" t="s">
        <v>84</v>
      </c>
      <c r="B24" s="29" t="s">
        <v>85</v>
      </c>
      <c r="C24" s="29" t="s">
        <v>86</v>
      </c>
      <c r="D24" s="29" t="s">
        <v>68</v>
      </c>
      <c r="E24" s="28" t="s">
        <v>29</v>
      </c>
      <c r="F24" s="29"/>
    </row>
    <row r="25" spans="1:6" ht="158.25" customHeight="1" x14ac:dyDescent="0.25">
      <c r="A25" s="28" t="s">
        <v>87</v>
      </c>
      <c r="B25" s="29" t="s">
        <v>88</v>
      </c>
      <c r="C25" s="29" t="s">
        <v>89</v>
      </c>
      <c r="D25" s="29" t="s">
        <v>90</v>
      </c>
      <c r="E25" s="28" t="s">
        <v>29</v>
      </c>
      <c r="F25" s="29"/>
    </row>
    <row r="26" spans="1:6" ht="170.25" customHeight="1" x14ac:dyDescent="0.25">
      <c r="A26" s="28" t="s">
        <v>91</v>
      </c>
      <c r="B26" s="29" t="s">
        <v>92</v>
      </c>
      <c r="C26" s="29" t="s">
        <v>93</v>
      </c>
      <c r="D26" s="29" t="s">
        <v>94</v>
      </c>
      <c r="E26" s="28" t="s">
        <v>29</v>
      </c>
      <c r="F26" s="29"/>
    </row>
  </sheetData>
  <mergeCells count="3">
    <mergeCell ref="B10:F10"/>
    <mergeCell ref="A1:F1"/>
    <mergeCell ref="B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showGridLines="0" zoomScale="80" zoomScaleNormal="80" workbookViewId="0">
      <pane ySplit="9" topLeftCell="A10" activePane="bottomLeft" state="frozen"/>
      <selection pane="bottomLeft" activeCell="G3" sqref="G3"/>
    </sheetView>
  </sheetViews>
  <sheetFormatPr defaultRowHeight="15" x14ac:dyDescent="0.25"/>
  <cols>
    <col min="1" max="1" width="16" customWidth="1"/>
    <col min="2" max="2" width="42" customWidth="1"/>
    <col min="3" max="3" width="60" customWidth="1"/>
    <col min="4" max="4" width="45" customWidth="1"/>
    <col min="5" max="5" width="12" customWidth="1"/>
    <col min="6" max="6" width="17.140625" customWidth="1"/>
  </cols>
  <sheetData>
    <row r="1" spans="1:6" ht="32.1" customHeight="1" x14ac:dyDescent="0.25">
      <c r="A1" s="17" t="s">
        <v>23</v>
      </c>
      <c r="B1" s="14"/>
      <c r="C1" s="14"/>
      <c r="D1" s="14"/>
      <c r="E1" s="14"/>
      <c r="F1" s="14"/>
    </row>
    <row r="3" spans="1:6" x14ac:dyDescent="0.25">
      <c r="A3" s="3" t="s">
        <v>24</v>
      </c>
      <c r="B3" s="4" t="s">
        <v>25</v>
      </c>
    </row>
    <row r="4" spans="1:6" x14ac:dyDescent="0.25">
      <c r="A4" s="3" t="s">
        <v>26</v>
      </c>
      <c r="B4" s="4" t="s">
        <v>5</v>
      </c>
    </row>
    <row r="5" spans="1:6" ht="30" x14ac:dyDescent="0.25">
      <c r="A5" s="3" t="s">
        <v>27</v>
      </c>
      <c r="B5" s="31" t="s">
        <v>95</v>
      </c>
    </row>
    <row r="6" spans="1:6" x14ac:dyDescent="0.25">
      <c r="A6" s="3" t="s">
        <v>29</v>
      </c>
      <c r="B6" s="5">
        <f>COUNTIF(E10:E5000,"Pass")</f>
        <v>2</v>
      </c>
      <c r="C6" s="3" t="s">
        <v>30</v>
      </c>
      <c r="D6" s="5">
        <f>COUNTIF(E10:E5000,"Pending")</f>
        <v>0</v>
      </c>
    </row>
    <row r="7" spans="1:6" x14ac:dyDescent="0.25">
      <c r="A7" s="3" t="s">
        <v>31</v>
      </c>
      <c r="B7" s="5">
        <f>COUNTIF(E10:E5000,"Fail")</f>
        <v>0</v>
      </c>
      <c r="C7" s="3" t="s">
        <v>32</v>
      </c>
      <c r="D7" s="5">
        <f>COUNTA(A10:A5000)</f>
        <v>2</v>
      </c>
    </row>
    <row r="9" spans="1:6" ht="24" customHeight="1" x14ac:dyDescent="0.25">
      <c r="A9" s="6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</row>
    <row r="10" spans="1:6" ht="20.100000000000001" customHeight="1" x14ac:dyDescent="0.25">
      <c r="A10" s="7"/>
      <c r="B10" s="15" t="s">
        <v>39</v>
      </c>
      <c r="C10" s="16"/>
      <c r="D10" s="16"/>
      <c r="E10" s="16"/>
      <c r="F10" s="16"/>
    </row>
    <row r="11" spans="1:6" ht="129" customHeight="1" x14ac:dyDescent="0.25">
      <c r="A11" s="8" t="s">
        <v>96</v>
      </c>
      <c r="B11" s="9" t="s">
        <v>97</v>
      </c>
      <c r="C11" s="9" t="s">
        <v>98</v>
      </c>
      <c r="D11" s="9" t="s">
        <v>99</v>
      </c>
      <c r="E11" s="8" t="s">
        <v>29</v>
      </c>
      <c r="F11" s="9"/>
    </row>
    <row r="13" spans="1:6" ht="20.100000000000001" customHeight="1" x14ac:dyDescent="0.25">
      <c r="A13" s="7"/>
      <c r="B13" s="15" t="s">
        <v>60</v>
      </c>
      <c r="C13" s="16"/>
      <c r="D13" s="16"/>
      <c r="E13" s="16"/>
      <c r="F13" s="16"/>
    </row>
    <row r="14" spans="1:6" ht="162.75" customHeight="1" x14ac:dyDescent="0.25">
      <c r="A14" s="8" t="s">
        <v>100</v>
      </c>
      <c r="B14" s="9" t="s">
        <v>101</v>
      </c>
      <c r="C14" s="9" t="s">
        <v>102</v>
      </c>
      <c r="D14" s="9" t="s">
        <v>103</v>
      </c>
      <c r="E14" s="8" t="s">
        <v>29</v>
      </c>
      <c r="F14" s="9"/>
    </row>
  </sheetData>
  <mergeCells count="3">
    <mergeCell ref="B10:F10"/>
    <mergeCell ref="A1:F1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zoomScale="85" zoomScaleNormal="85" workbookViewId="0">
      <pane ySplit="9" topLeftCell="A14" activePane="bottomLeft" state="frozen"/>
      <selection pane="bottomLeft" activeCell="B5" sqref="B5"/>
    </sheetView>
  </sheetViews>
  <sheetFormatPr defaultRowHeight="15" x14ac:dyDescent="0.25"/>
  <cols>
    <col min="1" max="1" width="16" customWidth="1"/>
    <col min="2" max="2" width="42" customWidth="1"/>
    <col min="3" max="3" width="60" customWidth="1"/>
    <col min="4" max="4" width="45" customWidth="1"/>
    <col min="5" max="5" width="12" customWidth="1"/>
    <col min="6" max="6" width="16.28515625" customWidth="1"/>
  </cols>
  <sheetData>
    <row r="1" spans="1:6" ht="32.1" customHeight="1" x14ac:dyDescent="0.25">
      <c r="A1" s="17" t="s">
        <v>23</v>
      </c>
      <c r="B1" s="14"/>
      <c r="C1" s="14"/>
      <c r="D1" s="14"/>
      <c r="E1" s="14"/>
      <c r="F1" s="14"/>
    </row>
    <row r="3" spans="1:6" x14ac:dyDescent="0.25">
      <c r="A3" s="3" t="s">
        <v>24</v>
      </c>
      <c r="B3" s="4" t="s">
        <v>25</v>
      </c>
    </row>
    <row r="4" spans="1:6" x14ac:dyDescent="0.25">
      <c r="A4" s="3" t="s">
        <v>26</v>
      </c>
      <c r="B4" s="4" t="s">
        <v>7</v>
      </c>
    </row>
    <row r="5" spans="1:6" ht="30" x14ac:dyDescent="0.25">
      <c r="A5" s="3" t="s">
        <v>27</v>
      </c>
      <c r="B5" s="31" t="s">
        <v>104</v>
      </c>
    </row>
    <row r="6" spans="1:6" x14ac:dyDescent="0.25">
      <c r="A6" s="3" t="s">
        <v>29</v>
      </c>
      <c r="B6" s="5">
        <f>COUNTIF(E10:E5000,"Pass")</f>
        <v>3</v>
      </c>
      <c r="C6" s="3" t="s">
        <v>30</v>
      </c>
      <c r="D6" s="5">
        <f>COUNTIF(E10:E5000,"Pending")</f>
        <v>0</v>
      </c>
    </row>
    <row r="7" spans="1:6" x14ac:dyDescent="0.25">
      <c r="A7" s="3" t="s">
        <v>31</v>
      </c>
      <c r="B7" s="5">
        <f>COUNTIF(E10:E5000,"Fail")</f>
        <v>0</v>
      </c>
      <c r="C7" s="3" t="s">
        <v>32</v>
      </c>
      <c r="D7" s="5">
        <f>COUNTA(A10:A5000)</f>
        <v>3</v>
      </c>
    </row>
    <row r="9" spans="1:6" ht="24" customHeight="1" x14ac:dyDescent="0.25">
      <c r="A9" s="6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</row>
    <row r="10" spans="1:6" ht="20.100000000000001" customHeight="1" x14ac:dyDescent="0.25">
      <c r="A10" s="7"/>
      <c r="B10" s="15" t="s">
        <v>39</v>
      </c>
      <c r="C10" s="16"/>
      <c r="D10" s="16"/>
      <c r="E10" s="16"/>
      <c r="F10" s="16"/>
    </row>
    <row r="11" spans="1:6" ht="173.25" customHeight="1" x14ac:dyDescent="0.25">
      <c r="A11" s="8" t="s">
        <v>105</v>
      </c>
      <c r="B11" s="9" t="s">
        <v>106</v>
      </c>
      <c r="C11" s="9" t="s">
        <v>107</v>
      </c>
      <c r="D11" s="9" t="s">
        <v>108</v>
      </c>
      <c r="E11" s="8" t="s">
        <v>29</v>
      </c>
      <c r="F11" s="9"/>
    </row>
    <row r="12" spans="1:6" ht="147.75" customHeight="1" x14ac:dyDescent="0.25">
      <c r="A12" s="8" t="s">
        <v>109</v>
      </c>
      <c r="B12" s="9" t="s">
        <v>110</v>
      </c>
      <c r="C12" s="9" t="s">
        <v>111</v>
      </c>
      <c r="D12" s="9" t="s">
        <v>112</v>
      </c>
      <c r="E12" s="8" t="s">
        <v>29</v>
      </c>
      <c r="F12" s="9"/>
    </row>
    <row r="14" spans="1:6" ht="20.100000000000001" customHeight="1" x14ac:dyDescent="0.25">
      <c r="A14" s="7"/>
      <c r="B14" s="15" t="s">
        <v>60</v>
      </c>
      <c r="C14" s="16"/>
      <c r="D14" s="16"/>
      <c r="E14" s="16"/>
      <c r="F14" s="16"/>
    </row>
    <row r="15" spans="1:6" ht="141" customHeight="1" x14ac:dyDescent="0.25">
      <c r="A15" s="8" t="s">
        <v>113</v>
      </c>
      <c r="B15" s="9" t="s">
        <v>114</v>
      </c>
      <c r="C15" s="9" t="s">
        <v>115</v>
      </c>
      <c r="D15" s="9" t="s">
        <v>116</v>
      </c>
      <c r="E15" s="8" t="s">
        <v>29</v>
      </c>
      <c r="F15" s="9"/>
    </row>
  </sheetData>
  <mergeCells count="3">
    <mergeCell ref="B14:F14"/>
    <mergeCell ref="B10:F10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2"/>
  <sheetViews>
    <sheetView showGridLines="0" zoomScale="80" zoomScaleNormal="80" workbookViewId="0">
      <pane ySplit="9" topLeftCell="A10" activePane="bottomLeft" state="frozen"/>
      <selection pane="bottomLeft" activeCell="D5" sqref="D5"/>
    </sheetView>
  </sheetViews>
  <sheetFormatPr defaultRowHeight="15" x14ac:dyDescent="0.25"/>
  <cols>
    <col min="1" max="1" width="16" customWidth="1"/>
    <col min="2" max="2" width="42" customWidth="1"/>
    <col min="3" max="3" width="60" customWidth="1"/>
    <col min="4" max="4" width="45" customWidth="1"/>
    <col min="5" max="5" width="12" customWidth="1"/>
    <col min="6" max="6" width="19.5703125" customWidth="1"/>
  </cols>
  <sheetData>
    <row r="1" spans="1:6" ht="32.1" customHeight="1" x14ac:dyDescent="0.25">
      <c r="A1" s="17" t="s">
        <v>23</v>
      </c>
      <c r="B1" s="14"/>
      <c r="C1" s="14"/>
      <c r="D1" s="14"/>
      <c r="E1" s="14"/>
      <c r="F1" s="14"/>
    </row>
    <row r="3" spans="1:6" x14ac:dyDescent="0.25">
      <c r="A3" s="3" t="s">
        <v>24</v>
      </c>
      <c r="B3" s="4" t="s">
        <v>25</v>
      </c>
    </row>
    <row r="4" spans="1:6" x14ac:dyDescent="0.25">
      <c r="A4" s="3" t="s">
        <v>26</v>
      </c>
      <c r="B4" s="4" t="s">
        <v>9</v>
      </c>
    </row>
    <row r="5" spans="1:6" ht="30" x14ac:dyDescent="0.25">
      <c r="A5" s="3" t="s">
        <v>27</v>
      </c>
      <c r="B5" s="4" t="s">
        <v>117</v>
      </c>
    </row>
    <row r="6" spans="1:6" x14ac:dyDescent="0.25">
      <c r="A6" s="3" t="s">
        <v>29</v>
      </c>
      <c r="B6" s="5">
        <f>COUNTIF(E10:E5000,"Pass")</f>
        <v>28</v>
      </c>
      <c r="C6" s="3" t="s">
        <v>30</v>
      </c>
      <c r="D6" s="5">
        <f>COUNTIF(E10:E5000,"Pending")</f>
        <v>0</v>
      </c>
    </row>
    <row r="7" spans="1:6" x14ac:dyDescent="0.25">
      <c r="A7" s="3" t="s">
        <v>31</v>
      </c>
      <c r="B7" s="5">
        <f>COUNTIF(E10:E5000,"Fail")</f>
        <v>2</v>
      </c>
      <c r="C7" s="3" t="s">
        <v>32</v>
      </c>
      <c r="D7" s="5">
        <f>COUNTA(A10:A5000)</f>
        <v>30</v>
      </c>
    </row>
    <row r="9" spans="1:6" ht="24" customHeight="1" x14ac:dyDescent="0.25">
      <c r="A9" s="6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</row>
    <row r="10" spans="1:6" ht="20.100000000000001" customHeight="1" x14ac:dyDescent="0.25">
      <c r="A10" s="7"/>
      <c r="B10" s="15" t="s">
        <v>39</v>
      </c>
      <c r="C10" s="16"/>
      <c r="D10" s="16"/>
      <c r="E10" s="16"/>
      <c r="F10" s="16"/>
    </row>
    <row r="11" spans="1:6" ht="132" customHeight="1" x14ac:dyDescent="0.25">
      <c r="A11" s="8" t="s">
        <v>118</v>
      </c>
      <c r="B11" s="9" t="s">
        <v>119</v>
      </c>
      <c r="C11" s="9" t="s">
        <v>120</v>
      </c>
      <c r="D11" s="9" t="s">
        <v>121</v>
      </c>
      <c r="E11" s="8" t="s">
        <v>29</v>
      </c>
      <c r="F11" s="9"/>
    </row>
    <row r="12" spans="1:6" ht="141.75" customHeight="1" x14ac:dyDescent="0.25">
      <c r="A12" s="8" t="s">
        <v>122</v>
      </c>
      <c r="B12" s="9" t="s">
        <v>123</v>
      </c>
      <c r="C12" s="9" t="s">
        <v>124</v>
      </c>
      <c r="D12" s="9" t="s">
        <v>121</v>
      </c>
      <c r="E12" s="8" t="s">
        <v>29</v>
      </c>
      <c r="F12" s="9"/>
    </row>
    <row r="13" spans="1:6" ht="140.25" customHeight="1" x14ac:dyDescent="0.25">
      <c r="A13" s="8" t="s">
        <v>125</v>
      </c>
      <c r="B13" s="9" t="s">
        <v>126</v>
      </c>
      <c r="C13" s="9" t="s">
        <v>127</v>
      </c>
      <c r="D13" s="9" t="s">
        <v>121</v>
      </c>
      <c r="E13" s="8" t="s">
        <v>29</v>
      </c>
      <c r="F13" s="9"/>
    </row>
    <row r="14" spans="1:6" ht="145.5" customHeight="1" x14ac:dyDescent="0.25">
      <c r="A14" s="8" t="s">
        <v>128</v>
      </c>
      <c r="B14" s="9" t="s">
        <v>129</v>
      </c>
      <c r="C14" s="9" t="s">
        <v>130</v>
      </c>
      <c r="D14" s="9" t="s">
        <v>121</v>
      </c>
      <c r="E14" s="8" t="s">
        <v>29</v>
      </c>
      <c r="F14" s="9"/>
    </row>
    <row r="15" spans="1:6" ht="140.25" customHeight="1" x14ac:dyDescent="0.25">
      <c r="A15" s="8" t="s">
        <v>131</v>
      </c>
      <c r="B15" s="9" t="s">
        <v>132</v>
      </c>
      <c r="C15" s="9" t="s">
        <v>133</v>
      </c>
      <c r="D15" s="9" t="s">
        <v>121</v>
      </c>
      <c r="E15" s="8" t="s">
        <v>29</v>
      </c>
      <c r="F15" s="9"/>
    </row>
    <row r="16" spans="1:6" ht="142.5" customHeight="1" x14ac:dyDescent="0.25">
      <c r="A16" s="8" t="s">
        <v>134</v>
      </c>
      <c r="B16" s="9" t="s">
        <v>135</v>
      </c>
      <c r="C16" s="9" t="s">
        <v>136</v>
      </c>
      <c r="D16" s="9" t="s">
        <v>121</v>
      </c>
      <c r="E16" s="8" t="s">
        <v>29</v>
      </c>
      <c r="F16" s="9"/>
    </row>
    <row r="17" spans="1:6" ht="139.5" customHeight="1" x14ac:dyDescent="0.25">
      <c r="A17" s="8" t="s">
        <v>137</v>
      </c>
      <c r="B17" s="9" t="s">
        <v>138</v>
      </c>
      <c r="C17" s="9" t="s">
        <v>139</v>
      </c>
      <c r="D17" s="9" t="s">
        <v>121</v>
      </c>
      <c r="E17" s="8" t="s">
        <v>29</v>
      </c>
      <c r="F17" s="9"/>
    </row>
    <row r="18" spans="1:6" ht="144.75" customHeight="1" x14ac:dyDescent="0.25">
      <c r="A18" s="8" t="s">
        <v>140</v>
      </c>
      <c r="B18" s="9" t="s">
        <v>141</v>
      </c>
      <c r="C18" s="9" t="s">
        <v>142</v>
      </c>
      <c r="D18" s="9" t="s">
        <v>121</v>
      </c>
      <c r="E18" s="8" t="s">
        <v>29</v>
      </c>
      <c r="F18" s="9"/>
    </row>
    <row r="19" spans="1:6" ht="143.25" customHeight="1" x14ac:dyDescent="0.25">
      <c r="A19" s="8" t="s">
        <v>143</v>
      </c>
      <c r="B19" s="9" t="s">
        <v>144</v>
      </c>
      <c r="C19" s="9" t="s">
        <v>145</v>
      </c>
      <c r="D19" s="9" t="s">
        <v>121</v>
      </c>
      <c r="E19" s="8" t="s">
        <v>29</v>
      </c>
      <c r="F19" s="9"/>
    </row>
    <row r="20" spans="1:6" ht="144" customHeight="1" x14ac:dyDescent="0.25">
      <c r="A20" s="8" t="s">
        <v>146</v>
      </c>
      <c r="B20" s="9" t="s">
        <v>147</v>
      </c>
      <c r="C20" s="9" t="s">
        <v>148</v>
      </c>
      <c r="D20" s="9" t="s">
        <v>121</v>
      </c>
      <c r="E20" s="8" t="s">
        <v>29</v>
      </c>
      <c r="F20" s="9"/>
    </row>
    <row r="21" spans="1:6" ht="146.25" customHeight="1" x14ac:dyDescent="0.25">
      <c r="A21" s="8" t="s">
        <v>149</v>
      </c>
      <c r="B21" s="9" t="s">
        <v>150</v>
      </c>
      <c r="C21" s="9" t="s">
        <v>151</v>
      </c>
      <c r="D21" s="9" t="s">
        <v>121</v>
      </c>
      <c r="E21" s="8" t="s">
        <v>29</v>
      </c>
      <c r="F21" s="9"/>
    </row>
    <row r="22" spans="1:6" ht="141.75" customHeight="1" x14ac:dyDescent="0.25">
      <c r="A22" s="8" t="s">
        <v>152</v>
      </c>
      <c r="B22" s="9" t="s">
        <v>153</v>
      </c>
      <c r="C22" s="9" t="s">
        <v>154</v>
      </c>
      <c r="D22" s="9" t="s">
        <v>121</v>
      </c>
      <c r="E22" s="8" t="s">
        <v>29</v>
      </c>
      <c r="F22" s="9"/>
    </row>
    <row r="23" spans="1:6" ht="138.75" customHeight="1" x14ac:dyDescent="0.25">
      <c r="A23" s="8" t="s">
        <v>155</v>
      </c>
      <c r="B23" s="9" t="s">
        <v>156</v>
      </c>
      <c r="C23" s="9" t="s">
        <v>157</v>
      </c>
      <c r="D23" s="9" t="s">
        <v>121</v>
      </c>
      <c r="E23" s="8" t="s">
        <v>29</v>
      </c>
      <c r="F23" s="9"/>
    </row>
    <row r="24" spans="1:6" ht="140.25" customHeight="1" x14ac:dyDescent="0.25">
      <c r="A24" s="8" t="s">
        <v>158</v>
      </c>
      <c r="B24" s="9" t="s">
        <v>159</v>
      </c>
      <c r="C24" s="9" t="s">
        <v>160</v>
      </c>
      <c r="D24" s="9" t="s">
        <v>121</v>
      </c>
      <c r="E24" s="8" t="s">
        <v>29</v>
      </c>
      <c r="F24" s="9"/>
    </row>
    <row r="25" spans="1:6" ht="147" customHeight="1" x14ac:dyDescent="0.25">
      <c r="A25" s="8" t="s">
        <v>161</v>
      </c>
      <c r="B25" s="9" t="s">
        <v>162</v>
      </c>
      <c r="C25" s="9" t="s">
        <v>163</v>
      </c>
      <c r="D25" s="9" t="s">
        <v>121</v>
      </c>
      <c r="E25" s="8" t="s">
        <v>29</v>
      </c>
      <c r="F25" s="9"/>
    </row>
    <row r="27" spans="1:6" ht="20.100000000000001" customHeight="1" x14ac:dyDescent="0.25">
      <c r="A27" s="7"/>
      <c r="B27" s="15" t="s">
        <v>60</v>
      </c>
      <c r="C27" s="16"/>
      <c r="D27" s="16"/>
      <c r="E27" s="16"/>
      <c r="F27" s="16"/>
    </row>
    <row r="28" spans="1:6" ht="138.75" customHeight="1" x14ac:dyDescent="0.25">
      <c r="A28" s="8" t="s">
        <v>164</v>
      </c>
      <c r="B28" s="9" t="s">
        <v>165</v>
      </c>
      <c r="C28" s="9" t="s">
        <v>166</v>
      </c>
      <c r="D28" s="9" t="s">
        <v>167</v>
      </c>
      <c r="E28" s="8" t="s">
        <v>29</v>
      </c>
      <c r="F28" s="9"/>
    </row>
    <row r="29" spans="1:6" ht="138" customHeight="1" x14ac:dyDescent="0.25">
      <c r="A29" s="8" t="s">
        <v>168</v>
      </c>
      <c r="B29" s="9" t="s">
        <v>169</v>
      </c>
      <c r="C29" s="9" t="s">
        <v>170</v>
      </c>
      <c r="D29" s="9" t="s">
        <v>167</v>
      </c>
      <c r="E29" s="8" t="s">
        <v>29</v>
      </c>
      <c r="F29" s="9"/>
    </row>
    <row r="30" spans="1:6" ht="141" customHeight="1" x14ac:dyDescent="0.25">
      <c r="A30" s="8" t="s">
        <v>171</v>
      </c>
      <c r="B30" s="9" t="s">
        <v>172</v>
      </c>
      <c r="C30" s="9" t="s">
        <v>173</v>
      </c>
      <c r="D30" s="9" t="s">
        <v>167</v>
      </c>
      <c r="E30" s="8" t="s">
        <v>29</v>
      </c>
      <c r="F30" s="9"/>
    </row>
    <row r="31" spans="1:6" ht="140.25" customHeight="1" x14ac:dyDescent="0.25">
      <c r="A31" s="8" t="s">
        <v>174</v>
      </c>
      <c r="B31" s="9" t="s">
        <v>175</v>
      </c>
      <c r="C31" s="9" t="s">
        <v>176</v>
      </c>
      <c r="D31" s="9" t="s">
        <v>167</v>
      </c>
      <c r="E31" s="8" t="s">
        <v>29</v>
      </c>
      <c r="F31" s="9"/>
    </row>
    <row r="32" spans="1:6" ht="146.25" customHeight="1" x14ac:dyDescent="0.25">
      <c r="A32" s="8" t="s">
        <v>177</v>
      </c>
      <c r="B32" s="9" t="s">
        <v>178</v>
      </c>
      <c r="C32" s="9" t="s">
        <v>179</v>
      </c>
      <c r="D32" s="9" t="s">
        <v>167</v>
      </c>
      <c r="E32" s="8" t="s">
        <v>29</v>
      </c>
      <c r="F32" s="9"/>
    </row>
    <row r="33" spans="1:6" ht="137.25" customHeight="1" x14ac:dyDescent="0.25">
      <c r="A33" s="8" t="s">
        <v>180</v>
      </c>
      <c r="B33" s="9" t="s">
        <v>181</v>
      </c>
      <c r="C33" s="9" t="s">
        <v>182</v>
      </c>
      <c r="D33" s="9" t="s">
        <v>167</v>
      </c>
      <c r="E33" s="8" t="s">
        <v>29</v>
      </c>
      <c r="F33" s="9"/>
    </row>
    <row r="34" spans="1:6" ht="143.25" customHeight="1" x14ac:dyDescent="0.25">
      <c r="A34" s="8" t="s">
        <v>183</v>
      </c>
      <c r="B34" s="9" t="s">
        <v>184</v>
      </c>
      <c r="C34" s="9" t="s">
        <v>185</v>
      </c>
      <c r="D34" s="9" t="s">
        <v>167</v>
      </c>
      <c r="E34" s="8" t="s">
        <v>29</v>
      </c>
      <c r="F34" s="9"/>
    </row>
    <row r="35" spans="1:6" ht="140.25" customHeight="1" x14ac:dyDescent="0.25">
      <c r="A35" s="8" t="s">
        <v>186</v>
      </c>
      <c r="B35" s="9" t="s">
        <v>187</v>
      </c>
      <c r="C35" s="9" t="s">
        <v>188</v>
      </c>
      <c r="D35" s="9" t="s">
        <v>167</v>
      </c>
      <c r="E35" s="8" t="s">
        <v>29</v>
      </c>
      <c r="F35" s="9"/>
    </row>
    <row r="36" spans="1:6" ht="142.5" customHeight="1" x14ac:dyDescent="0.25">
      <c r="A36" s="8" t="s">
        <v>189</v>
      </c>
      <c r="B36" s="9" t="s">
        <v>190</v>
      </c>
      <c r="C36" s="9" t="s">
        <v>191</v>
      </c>
      <c r="D36" s="9" t="s">
        <v>167</v>
      </c>
      <c r="E36" s="8" t="s">
        <v>31</v>
      </c>
      <c r="F36" s="9"/>
    </row>
    <row r="37" spans="1:6" ht="147" customHeight="1" x14ac:dyDescent="0.25">
      <c r="A37" s="8" t="s">
        <v>192</v>
      </c>
      <c r="B37" s="9" t="s">
        <v>193</v>
      </c>
      <c r="C37" s="9" t="s">
        <v>194</v>
      </c>
      <c r="D37" s="9" t="s">
        <v>167</v>
      </c>
      <c r="E37" s="8" t="s">
        <v>29</v>
      </c>
      <c r="F37" s="9"/>
    </row>
    <row r="38" spans="1:6" ht="143.25" customHeight="1" x14ac:dyDescent="0.25">
      <c r="A38" s="8" t="s">
        <v>195</v>
      </c>
      <c r="B38" s="9" t="s">
        <v>196</v>
      </c>
      <c r="C38" s="9" t="s">
        <v>197</v>
      </c>
      <c r="D38" s="9" t="s">
        <v>167</v>
      </c>
      <c r="E38" s="8" t="s">
        <v>29</v>
      </c>
      <c r="F38" s="9"/>
    </row>
    <row r="39" spans="1:6" ht="137.25" customHeight="1" x14ac:dyDescent="0.25">
      <c r="A39" s="8" t="s">
        <v>198</v>
      </c>
      <c r="B39" s="9" t="s">
        <v>199</v>
      </c>
      <c r="C39" s="9" t="s">
        <v>200</v>
      </c>
      <c r="D39" s="9" t="s">
        <v>167</v>
      </c>
      <c r="E39" s="8" t="s">
        <v>29</v>
      </c>
      <c r="F39" s="9"/>
    </row>
    <row r="40" spans="1:6" ht="142.5" customHeight="1" x14ac:dyDescent="0.25">
      <c r="A40" s="8" t="s">
        <v>201</v>
      </c>
      <c r="B40" s="9" t="s">
        <v>202</v>
      </c>
      <c r="C40" s="9" t="s">
        <v>203</v>
      </c>
      <c r="D40" s="9" t="s">
        <v>167</v>
      </c>
      <c r="E40" s="8" t="s">
        <v>29</v>
      </c>
      <c r="F40" s="9"/>
    </row>
    <row r="41" spans="1:6" ht="143.25" customHeight="1" x14ac:dyDescent="0.25">
      <c r="A41" s="8" t="s">
        <v>204</v>
      </c>
      <c r="B41" s="9" t="s">
        <v>205</v>
      </c>
      <c r="C41" s="9" t="s">
        <v>206</v>
      </c>
      <c r="D41" s="9" t="s">
        <v>167</v>
      </c>
      <c r="E41" s="8" t="s">
        <v>31</v>
      </c>
      <c r="F41" s="9"/>
    </row>
    <row r="42" spans="1:6" ht="153" customHeight="1" x14ac:dyDescent="0.25">
      <c r="A42" s="8" t="s">
        <v>207</v>
      </c>
      <c r="B42" s="9" t="s">
        <v>208</v>
      </c>
      <c r="C42" s="9" t="s">
        <v>209</v>
      </c>
      <c r="D42" s="9" t="s">
        <v>167</v>
      </c>
      <c r="E42" s="8" t="s">
        <v>29</v>
      </c>
      <c r="F42" s="9"/>
    </row>
  </sheetData>
  <mergeCells count="3">
    <mergeCell ref="B10:F10"/>
    <mergeCell ref="A1:F1"/>
    <mergeCell ref="B27:F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"/>
  <sheetViews>
    <sheetView showGridLines="0" tabSelected="1" zoomScale="80" zoomScaleNormal="80" workbookViewId="0">
      <pane ySplit="9" topLeftCell="A12" activePane="bottomLeft" state="frozen"/>
      <selection pane="bottomLeft" activeCell="C30" sqref="C30"/>
    </sheetView>
  </sheetViews>
  <sheetFormatPr defaultRowHeight="15" x14ac:dyDescent="0.25"/>
  <cols>
    <col min="1" max="1" width="16" customWidth="1"/>
    <col min="2" max="2" width="42" customWidth="1"/>
    <col min="3" max="3" width="60" customWidth="1"/>
    <col min="4" max="4" width="45" customWidth="1"/>
    <col min="5" max="5" width="12" customWidth="1"/>
    <col min="6" max="6" width="18.85546875" customWidth="1"/>
  </cols>
  <sheetData>
    <row r="1" spans="1:6" ht="32.1" customHeight="1" x14ac:dyDescent="0.25">
      <c r="A1" s="17" t="s">
        <v>23</v>
      </c>
      <c r="B1" s="14"/>
      <c r="C1" s="14"/>
      <c r="D1" s="14"/>
      <c r="E1" s="14"/>
      <c r="F1" s="14"/>
    </row>
    <row r="3" spans="1:6" x14ac:dyDescent="0.25">
      <c r="A3" s="3" t="s">
        <v>24</v>
      </c>
      <c r="B3" s="4" t="s">
        <v>25</v>
      </c>
    </row>
    <row r="4" spans="1:6" x14ac:dyDescent="0.25">
      <c r="A4" s="3" t="s">
        <v>26</v>
      </c>
      <c r="B4" s="4" t="s">
        <v>11</v>
      </c>
    </row>
    <row r="5" spans="1:6" ht="30" x14ac:dyDescent="0.25">
      <c r="A5" s="3" t="s">
        <v>27</v>
      </c>
      <c r="B5" s="4" t="s">
        <v>210</v>
      </c>
    </row>
    <row r="6" spans="1:6" x14ac:dyDescent="0.25">
      <c r="A6" s="3" t="s">
        <v>29</v>
      </c>
      <c r="B6" s="5">
        <f>COUNTIF(E10:E5000,"Pass")</f>
        <v>18</v>
      </c>
      <c r="C6" s="3" t="s">
        <v>30</v>
      </c>
      <c r="D6" s="5">
        <f>COUNTIF(E10:E5000,"Pending")</f>
        <v>0</v>
      </c>
    </row>
    <row r="7" spans="1:6" x14ac:dyDescent="0.25">
      <c r="A7" s="3" t="s">
        <v>31</v>
      </c>
      <c r="B7" s="5">
        <f>COUNTIF(E10:E5000,"Fail")</f>
        <v>0</v>
      </c>
      <c r="C7" s="3" t="s">
        <v>32</v>
      </c>
      <c r="D7" s="5">
        <f>COUNTA(A10:A5000)</f>
        <v>18</v>
      </c>
    </row>
    <row r="9" spans="1:6" ht="24" customHeight="1" x14ac:dyDescent="0.25">
      <c r="A9" s="6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</row>
    <row r="10" spans="1:6" ht="20.100000000000001" customHeight="1" x14ac:dyDescent="0.25">
      <c r="A10" s="7"/>
      <c r="B10" s="15" t="s">
        <v>39</v>
      </c>
      <c r="C10" s="16"/>
      <c r="D10" s="16"/>
      <c r="E10" s="16"/>
      <c r="F10" s="16"/>
    </row>
    <row r="11" spans="1:6" ht="218.25" customHeight="1" x14ac:dyDescent="0.25">
      <c r="A11" s="8" t="s">
        <v>211</v>
      </c>
      <c r="B11" s="9" t="s">
        <v>212</v>
      </c>
      <c r="C11" s="9" t="s">
        <v>213</v>
      </c>
      <c r="D11" s="9" t="s">
        <v>214</v>
      </c>
      <c r="E11" s="8" t="s">
        <v>29</v>
      </c>
      <c r="F11" s="9"/>
    </row>
    <row r="12" spans="1:6" ht="156.75" customHeight="1" x14ac:dyDescent="0.25">
      <c r="A12" s="8" t="s">
        <v>215</v>
      </c>
      <c r="B12" s="9" t="s">
        <v>216</v>
      </c>
      <c r="C12" s="9" t="s">
        <v>217</v>
      </c>
      <c r="D12" s="9" t="s">
        <v>218</v>
      </c>
      <c r="E12" s="8" t="s">
        <v>29</v>
      </c>
      <c r="F12" s="9"/>
    </row>
    <row r="13" spans="1:6" ht="191.25" customHeight="1" x14ac:dyDescent="0.25">
      <c r="A13" s="8" t="s">
        <v>219</v>
      </c>
      <c r="B13" s="9" t="s">
        <v>220</v>
      </c>
      <c r="C13" s="9" t="s">
        <v>221</v>
      </c>
      <c r="D13" s="9" t="s">
        <v>222</v>
      </c>
      <c r="E13" s="8" t="s">
        <v>29</v>
      </c>
      <c r="F13" s="9"/>
    </row>
    <row r="14" spans="1:6" ht="156" customHeight="1" x14ac:dyDescent="0.25">
      <c r="A14" s="8" t="s">
        <v>223</v>
      </c>
      <c r="B14" s="9" t="s">
        <v>224</v>
      </c>
      <c r="C14" s="9" t="s">
        <v>225</v>
      </c>
      <c r="D14" s="9" t="s">
        <v>226</v>
      </c>
      <c r="E14" s="8" t="s">
        <v>29</v>
      </c>
      <c r="F14" s="9"/>
    </row>
    <row r="15" spans="1:6" ht="174" customHeight="1" x14ac:dyDescent="0.25">
      <c r="A15" s="8" t="s">
        <v>227</v>
      </c>
      <c r="B15" s="9" t="s">
        <v>228</v>
      </c>
      <c r="C15" s="9" t="s">
        <v>229</v>
      </c>
      <c r="D15" s="9" t="s">
        <v>230</v>
      </c>
      <c r="E15" s="8" t="s">
        <v>29</v>
      </c>
      <c r="F15" s="9"/>
    </row>
    <row r="17" spans="1:6" ht="20.100000000000001" customHeight="1" x14ac:dyDescent="0.25">
      <c r="A17" s="7"/>
      <c r="B17" s="15" t="s">
        <v>60</v>
      </c>
      <c r="C17" s="16"/>
      <c r="D17" s="16"/>
      <c r="E17" s="16"/>
      <c r="F17" s="16"/>
    </row>
    <row r="18" spans="1:6" ht="140.25" customHeight="1" x14ac:dyDescent="0.25">
      <c r="A18" s="8" t="s">
        <v>231</v>
      </c>
      <c r="B18" s="9" t="s">
        <v>232</v>
      </c>
      <c r="C18" s="9" t="s">
        <v>233</v>
      </c>
      <c r="D18" s="9" t="s">
        <v>234</v>
      </c>
      <c r="E18" s="8" t="s">
        <v>29</v>
      </c>
      <c r="F18" s="9"/>
    </row>
    <row r="19" spans="1:6" ht="141" customHeight="1" x14ac:dyDescent="0.25">
      <c r="A19" s="8" t="s">
        <v>235</v>
      </c>
      <c r="B19" s="9" t="s">
        <v>236</v>
      </c>
      <c r="C19" s="9" t="s">
        <v>237</v>
      </c>
      <c r="D19" s="9" t="s">
        <v>238</v>
      </c>
      <c r="E19" s="8" t="s">
        <v>29</v>
      </c>
      <c r="F19" s="9"/>
    </row>
    <row r="20" spans="1:6" ht="140.25" customHeight="1" x14ac:dyDescent="0.25">
      <c r="A20" s="8" t="s">
        <v>239</v>
      </c>
      <c r="B20" s="9" t="s">
        <v>240</v>
      </c>
      <c r="C20" s="9" t="s">
        <v>241</v>
      </c>
      <c r="D20" s="9" t="s">
        <v>242</v>
      </c>
      <c r="E20" s="8" t="s">
        <v>29</v>
      </c>
      <c r="F20" s="9"/>
    </row>
    <row r="21" spans="1:6" ht="143.25" customHeight="1" x14ac:dyDescent="0.25">
      <c r="A21" s="8" t="s">
        <v>243</v>
      </c>
      <c r="B21" s="9" t="s">
        <v>244</v>
      </c>
      <c r="C21" s="9" t="s">
        <v>245</v>
      </c>
      <c r="D21" s="9" t="s">
        <v>246</v>
      </c>
      <c r="E21" s="8" t="s">
        <v>29</v>
      </c>
      <c r="F21" s="9"/>
    </row>
    <row r="22" spans="1:6" ht="142.5" customHeight="1" x14ac:dyDescent="0.25">
      <c r="A22" s="8" t="s">
        <v>247</v>
      </c>
      <c r="B22" s="9" t="s">
        <v>248</v>
      </c>
      <c r="C22" s="9" t="s">
        <v>249</v>
      </c>
      <c r="D22" s="9" t="s">
        <v>250</v>
      </c>
      <c r="E22" s="8" t="s">
        <v>29</v>
      </c>
      <c r="F22" s="9"/>
    </row>
    <row r="23" spans="1:6" ht="149.25" customHeight="1" x14ac:dyDescent="0.25">
      <c r="A23" s="8" t="s">
        <v>251</v>
      </c>
      <c r="B23" s="9" t="s">
        <v>252</v>
      </c>
      <c r="C23" s="9" t="s">
        <v>253</v>
      </c>
      <c r="D23" s="9" t="s">
        <v>254</v>
      </c>
      <c r="E23" s="8" t="s">
        <v>29</v>
      </c>
      <c r="F23" s="9"/>
    </row>
    <row r="24" spans="1:6" ht="146.25" customHeight="1" x14ac:dyDescent="0.25">
      <c r="A24" s="8" t="s">
        <v>255</v>
      </c>
      <c r="B24" s="9" t="s">
        <v>256</v>
      </c>
      <c r="C24" s="9" t="s">
        <v>257</v>
      </c>
      <c r="D24" s="9" t="s">
        <v>258</v>
      </c>
      <c r="E24" s="8" t="s">
        <v>29</v>
      </c>
      <c r="F24" s="9"/>
    </row>
    <row r="25" spans="1:6" ht="144" customHeight="1" x14ac:dyDescent="0.25">
      <c r="A25" s="8" t="s">
        <v>259</v>
      </c>
      <c r="B25" s="9" t="s">
        <v>260</v>
      </c>
      <c r="C25" s="9" t="s">
        <v>261</v>
      </c>
      <c r="D25" s="9" t="s">
        <v>262</v>
      </c>
      <c r="E25" s="8" t="s">
        <v>29</v>
      </c>
      <c r="F25" s="9"/>
    </row>
    <row r="26" spans="1:6" ht="145.5" customHeight="1" x14ac:dyDescent="0.25">
      <c r="A26" s="8" t="s">
        <v>263</v>
      </c>
      <c r="B26" s="9" t="s">
        <v>264</v>
      </c>
      <c r="C26" s="9" t="s">
        <v>265</v>
      </c>
      <c r="D26" s="9" t="s">
        <v>266</v>
      </c>
      <c r="E26" s="8" t="s">
        <v>29</v>
      </c>
      <c r="F26" s="9"/>
    </row>
    <row r="27" spans="1:6" ht="147" customHeight="1" x14ac:dyDescent="0.25">
      <c r="A27" s="8" t="s">
        <v>267</v>
      </c>
      <c r="B27" s="9" t="s">
        <v>268</v>
      </c>
      <c r="C27" s="9" t="s">
        <v>269</v>
      </c>
      <c r="D27" s="9" t="s">
        <v>270</v>
      </c>
      <c r="E27" s="8" t="s">
        <v>29</v>
      </c>
      <c r="F27" s="9"/>
    </row>
    <row r="28" spans="1:6" ht="141" customHeight="1" x14ac:dyDescent="0.25">
      <c r="A28" s="8" t="s">
        <v>271</v>
      </c>
      <c r="B28" s="9" t="s">
        <v>272</v>
      </c>
      <c r="C28" s="9" t="s">
        <v>273</v>
      </c>
      <c r="D28" s="9" t="s">
        <v>274</v>
      </c>
      <c r="E28" s="8" t="s">
        <v>29</v>
      </c>
      <c r="F28" s="9"/>
    </row>
    <row r="29" spans="1:6" ht="164.25" customHeight="1" x14ac:dyDescent="0.25">
      <c r="A29" s="8" t="s">
        <v>275</v>
      </c>
      <c r="B29" s="9" t="s">
        <v>276</v>
      </c>
      <c r="C29" s="9" t="s">
        <v>277</v>
      </c>
      <c r="D29" s="9" t="s">
        <v>278</v>
      </c>
      <c r="E29" s="8" t="s">
        <v>29</v>
      </c>
      <c r="F29" s="9"/>
    </row>
    <row r="30" spans="1:6" ht="162" customHeight="1" x14ac:dyDescent="0.25">
      <c r="A30" s="8" t="s">
        <v>279</v>
      </c>
      <c r="B30" s="9" t="s">
        <v>280</v>
      </c>
      <c r="C30" s="9" t="s">
        <v>281</v>
      </c>
      <c r="D30" s="9" t="s">
        <v>282</v>
      </c>
      <c r="E30" s="8" t="s">
        <v>29</v>
      </c>
      <c r="F30" s="9"/>
    </row>
  </sheetData>
  <mergeCells count="3">
    <mergeCell ref="B10:F10"/>
    <mergeCell ref="A1:F1"/>
    <mergeCell ref="B17:F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"/>
  <sheetViews>
    <sheetView showGridLines="0" zoomScale="80" zoomScaleNormal="80" workbookViewId="0">
      <pane ySplit="9" topLeftCell="A30" activePane="bottomLeft" state="frozen"/>
      <selection pane="bottomLeft" activeCell="C30" sqref="C30"/>
    </sheetView>
  </sheetViews>
  <sheetFormatPr defaultRowHeight="15" x14ac:dyDescent="0.25"/>
  <cols>
    <col min="1" max="1" width="16" customWidth="1"/>
    <col min="2" max="2" width="42" customWidth="1"/>
    <col min="3" max="3" width="60" customWidth="1"/>
    <col min="4" max="4" width="45" customWidth="1"/>
    <col min="5" max="5" width="12" customWidth="1"/>
    <col min="6" max="6" width="17.28515625" customWidth="1"/>
  </cols>
  <sheetData>
    <row r="1" spans="1:6" ht="32.1" customHeight="1" x14ac:dyDescent="0.25">
      <c r="A1" s="17" t="s">
        <v>23</v>
      </c>
      <c r="B1" s="14"/>
      <c r="C1" s="14"/>
      <c r="D1" s="14"/>
      <c r="E1" s="14"/>
      <c r="F1" s="14"/>
    </row>
    <row r="3" spans="1:6" x14ac:dyDescent="0.25">
      <c r="A3" s="3" t="s">
        <v>24</v>
      </c>
      <c r="B3" s="4" t="s">
        <v>25</v>
      </c>
    </row>
    <row r="4" spans="1:6" x14ac:dyDescent="0.25">
      <c r="A4" s="3" t="s">
        <v>26</v>
      </c>
      <c r="B4" s="4" t="s">
        <v>13</v>
      </c>
    </row>
    <row r="5" spans="1:6" ht="30" x14ac:dyDescent="0.25">
      <c r="A5" s="3" t="s">
        <v>27</v>
      </c>
      <c r="B5" s="4" t="s">
        <v>283</v>
      </c>
    </row>
    <row r="6" spans="1:6" x14ac:dyDescent="0.25">
      <c r="A6" s="3" t="s">
        <v>29</v>
      </c>
      <c r="B6" s="5">
        <f>COUNTIF(E10:E5000,"Pass")</f>
        <v>18</v>
      </c>
      <c r="C6" s="3" t="s">
        <v>30</v>
      </c>
      <c r="D6" s="5">
        <f>COUNTIF(E10:E5000,"Pending")</f>
        <v>0</v>
      </c>
    </row>
    <row r="7" spans="1:6" x14ac:dyDescent="0.25">
      <c r="A7" s="3" t="s">
        <v>31</v>
      </c>
      <c r="B7" s="5">
        <f>COUNTIF(E10:E5000,"Fail")</f>
        <v>0</v>
      </c>
      <c r="C7" s="3" t="s">
        <v>32</v>
      </c>
      <c r="D7" s="5">
        <f>COUNTA(A10:A5000)</f>
        <v>18</v>
      </c>
    </row>
    <row r="9" spans="1:6" ht="24" customHeight="1" x14ac:dyDescent="0.25">
      <c r="A9" s="6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</row>
    <row r="10" spans="1:6" ht="20.100000000000001" customHeight="1" x14ac:dyDescent="0.25">
      <c r="A10" s="7"/>
      <c r="B10" s="15" t="s">
        <v>39</v>
      </c>
      <c r="C10" s="16"/>
      <c r="D10" s="16"/>
      <c r="E10" s="16"/>
      <c r="F10" s="16"/>
    </row>
    <row r="11" spans="1:6" ht="218.25" customHeight="1" x14ac:dyDescent="0.25">
      <c r="A11" s="8" t="s">
        <v>284</v>
      </c>
      <c r="B11" s="9" t="s">
        <v>285</v>
      </c>
      <c r="C11" s="9" t="s">
        <v>286</v>
      </c>
      <c r="D11" s="9" t="s">
        <v>287</v>
      </c>
      <c r="E11" s="8" t="s">
        <v>29</v>
      </c>
      <c r="F11" s="9"/>
    </row>
    <row r="12" spans="1:6" ht="177" customHeight="1" x14ac:dyDescent="0.25">
      <c r="A12" s="8" t="s">
        <v>288</v>
      </c>
      <c r="B12" s="9" t="s">
        <v>289</v>
      </c>
      <c r="C12" s="9" t="s">
        <v>290</v>
      </c>
      <c r="D12" s="9" t="s">
        <v>291</v>
      </c>
      <c r="E12" s="8" t="s">
        <v>29</v>
      </c>
      <c r="F12" s="9"/>
    </row>
    <row r="13" spans="1:6" ht="179.25" customHeight="1" x14ac:dyDescent="0.25">
      <c r="A13" s="8" t="s">
        <v>292</v>
      </c>
      <c r="B13" s="9" t="s">
        <v>293</v>
      </c>
      <c r="C13" s="9" t="s">
        <v>294</v>
      </c>
      <c r="D13" s="9" t="s">
        <v>295</v>
      </c>
      <c r="E13" s="8" t="s">
        <v>29</v>
      </c>
      <c r="F13" s="9"/>
    </row>
    <row r="14" spans="1:6" ht="159" customHeight="1" x14ac:dyDescent="0.25">
      <c r="A14" s="8" t="s">
        <v>296</v>
      </c>
      <c r="B14" s="9" t="s">
        <v>297</v>
      </c>
      <c r="C14" s="9" t="s">
        <v>298</v>
      </c>
      <c r="D14" s="9" t="s">
        <v>299</v>
      </c>
      <c r="E14" s="8" t="s">
        <v>29</v>
      </c>
      <c r="F14" s="9"/>
    </row>
    <row r="15" spans="1:6" ht="163.5" customHeight="1" x14ac:dyDescent="0.25">
      <c r="A15" s="8" t="s">
        <v>300</v>
      </c>
      <c r="B15" s="9" t="s">
        <v>301</v>
      </c>
      <c r="C15" s="9" t="s">
        <v>302</v>
      </c>
      <c r="D15" s="9" t="s">
        <v>303</v>
      </c>
      <c r="E15" s="8" t="s">
        <v>29</v>
      </c>
      <c r="F15" s="9"/>
    </row>
    <row r="17" spans="1:6" ht="20.100000000000001" customHeight="1" x14ac:dyDescent="0.25">
      <c r="A17" s="7"/>
      <c r="B17" s="15" t="s">
        <v>60</v>
      </c>
      <c r="C17" s="16"/>
      <c r="D17" s="16"/>
      <c r="E17" s="16"/>
      <c r="F17" s="16"/>
    </row>
    <row r="18" spans="1:6" ht="141.75" customHeight="1" x14ac:dyDescent="0.25">
      <c r="A18" s="8" t="s">
        <v>304</v>
      </c>
      <c r="B18" s="9" t="s">
        <v>232</v>
      </c>
      <c r="C18" s="9" t="s">
        <v>305</v>
      </c>
      <c r="D18" s="9" t="s">
        <v>306</v>
      </c>
      <c r="E18" s="8" t="s">
        <v>29</v>
      </c>
      <c r="F18" s="9"/>
    </row>
    <row r="19" spans="1:6" ht="145.5" customHeight="1" x14ac:dyDescent="0.25">
      <c r="A19" s="8" t="s">
        <v>307</v>
      </c>
      <c r="B19" s="9" t="s">
        <v>308</v>
      </c>
      <c r="C19" s="9" t="s">
        <v>309</v>
      </c>
      <c r="D19" s="9" t="s">
        <v>310</v>
      </c>
      <c r="E19" s="8" t="s">
        <v>29</v>
      </c>
      <c r="F19" s="9"/>
    </row>
    <row r="20" spans="1:6" ht="139.5" customHeight="1" x14ac:dyDescent="0.25">
      <c r="A20" s="8" t="s">
        <v>311</v>
      </c>
      <c r="B20" s="9" t="s">
        <v>312</v>
      </c>
      <c r="C20" s="9" t="s">
        <v>313</v>
      </c>
      <c r="D20" s="9" t="s">
        <v>314</v>
      </c>
      <c r="E20" s="8" t="s">
        <v>29</v>
      </c>
      <c r="F20" s="9"/>
    </row>
    <row r="21" spans="1:6" ht="144.75" customHeight="1" x14ac:dyDescent="0.25">
      <c r="A21" s="8" t="s">
        <v>315</v>
      </c>
      <c r="B21" s="9" t="s">
        <v>240</v>
      </c>
      <c r="C21" s="9" t="s">
        <v>316</v>
      </c>
      <c r="D21" s="9" t="s">
        <v>317</v>
      </c>
      <c r="E21" s="8" t="s">
        <v>29</v>
      </c>
      <c r="F21" s="9"/>
    </row>
    <row r="22" spans="1:6" ht="141.75" customHeight="1" x14ac:dyDescent="0.25">
      <c r="A22" s="8" t="s">
        <v>318</v>
      </c>
      <c r="B22" s="9" t="s">
        <v>319</v>
      </c>
      <c r="C22" s="9" t="s">
        <v>320</v>
      </c>
      <c r="D22" s="9" t="s">
        <v>321</v>
      </c>
      <c r="E22" s="8" t="s">
        <v>29</v>
      </c>
      <c r="F22" s="9"/>
    </row>
    <row r="23" spans="1:6" ht="144" customHeight="1" x14ac:dyDescent="0.25">
      <c r="A23" s="8" t="s">
        <v>322</v>
      </c>
      <c r="B23" s="9" t="s">
        <v>323</v>
      </c>
      <c r="C23" s="9" t="s">
        <v>324</v>
      </c>
      <c r="D23" s="9" t="s">
        <v>325</v>
      </c>
      <c r="E23" s="8" t="s">
        <v>29</v>
      </c>
      <c r="F23" s="9"/>
    </row>
    <row r="24" spans="1:6" ht="150" customHeight="1" x14ac:dyDescent="0.25">
      <c r="A24" s="8" t="s">
        <v>326</v>
      </c>
      <c r="B24" s="9" t="s">
        <v>327</v>
      </c>
      <c r="C24" s="9" t="s">
        <v>328</v>
      </c>
      <c r="D24" s="9" t="s">
        <v>329</v>
      </c>
      <c r="E24" s="8" t="s">
        <v>29</v>
      </c>
      <c r="F24" s="9"/>
    </row>
    <row r="25" spans="1:6" ht="144" customHeight="1" x14ac:dyDescent="0.25">
      <c r="A25" s="8" t="s">
        <v>330</v>
      </c>
      <c r="B25" s="9" t="s">
        <v>256</v>
      </c>
      <c r="C25" s="9" t="s">
        <v>331</v>
      </c>
      <c r="D25" s="9" t="s">
        <v>332</v>
      </c>
      <c r="E25" s="8" t="s">
        <v>29</v>
      </c>
      <c r="F25" s="9"/>
    </row>
    <row r="26" spans="1:6" ht="147" customHeight="1" x14ac:dyDescent="0.25">
      <c r="A26" s="8" t="s">
        <v>333</v>
      </c>
      <c r="B26" s="9" t="s">
        <v>334</v>
      </c>
      <c r="C26" s="9" t="s">
        <v>335</v>
      </c>
      <c r="D26" s="9" t="s">
        <v>336</v>
      </c>
      <c r="E26" s="8" t="s">
        <v>29</v>
      </c>
      <c r="F26" s="9"/>
    </row>
    <row r="27" spans="1:6" ht="139.5" customHeight="1" x14ac:dyDescent="0.25">
      <c r="A27" s="8" t="s">
        <v>337</v>
      </c>
      <c r="B27" s="9" t="s">
        <v>338</v>
      </c>
      <c r="C27" s="9" t="s">
        <v>339</v>
      </c>
      <c r="D27" s="9" t="s">
        <v>262</v>
      </c>
      <c r="E27" s="8" t="s">
        <v>29</v>
      </c>
      <c r="F27" s="9"/>
    </row>
    <row r="28" spans="1:6" ht="144" customHeight="1" x14ac:dyDescent="0.25">
      <c r="A28" s="8" t="s">
        <v>340</v>
      </c>
      <c r="B28" s="9" t="s">
        <v>264</v>
      </c>
      <c r="C28" s="9" t="s">
        <v>341</v>
      </c>
      <c r="D28" s="9" t="s">
        <v>342</v>
      </c>
      <c r="E28" s="8" t="s">
        <v>29</v>
      </c>
      <c r="F28" s="9"/>
    </row>
    <row r="29" spans="1:6" ht="139.5" customHeight="1" x14ac:dyDescent="0.25">
      <c r="A29" s="8" t="s">
        <v>343</v>
      </c>
      <c r="B29" s="9" t="s">
        <v>344</v>
      </c>
      <c r="C29" s="9" t="s">
        <v>345</v>
      </c>
      <c r="D29" s="9" t="s">
        <v>332</v>
      </c>
      <c r="E29" s="8" t="s">
        <v>29</v>
      </c>
      <c r="F29" s="9"/>
    </row>
    <row r="30" spans="1:6" ht="160.5" customHeight="1" x14ac:dyDescent="0.25">
      <c r="A30" s="8" t="s">
        <v>346</v>
      </c>
      <c r="B30" s="9" t="s">
        <v>347</v>
      </c>
      <c r="C30" s="9" t="s">
        <v>348</v>
      </c>
      <c r="D30" s="9" t="s">
        <v>349</v>
      </c>
      <c r="E30" s="8" t="s">
        <v>29</v>
      </c>
      <c r="F30" s="9"/>
    </row>
  </sheetData>
  <mergeCells count="3">
    <mergeCell ref="B10:F10"/>
    <mergeCell ref="A1:F1"/>
    <mergeCell ref="B17:F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showGridLines="0" zoomScale="80" zoomScaleNormal="80" workbookViewId="0">
      <pane ySplit="9" topLeftCell="A28" activePane="bottomLeft" state="frozen"/>
      <selection pane="bottomLeft" activeCell="G4" sqref="G4:G5"/>
    </sheetView>
  </sheetViews>
  <sheetFormatPr defaultRowHeight="15" x14ac:dyDescent="0.25"/>
  <cols>
    <col min="1" max="1" width="16" customWidth="1"/>
    <col min="2" max="2" width="42" customWidth="1"/>
    <col min="3" max="3" width="60" customWidth="1"/>
    <col min="4" max="4" width="45" customWidth="1"/>
    <col min="5" max="5" width="12" customWidth="1"/>
    <col min="6" max="6" width="17.42578125" customWidth="1"/>
    <col min="8" max="8" width="9" customWidth="1"/>
  </cols>
  <sheetData>
    <row r="1" spans="1:6" ht="32.1" customHeight="1" x14ac:dyDescent="0.25">
      <c r="A1" s="17" t="s">
        <v>23</v>
      </c>
      <c r="B1" s="14"/>
      <c r="C1" s="14"/>
      <c r="D1" s="14"/>
      <c r="E1" s="14"/>
      <c r="F1" s="14"/>
    </row>
    <row r="3" spans="1:6" x14ac:dyDescent="0.25">
      <c r="A3" s="3" t="s">
        <v>24</v>
      </c>
      <c r="B3" s="4" t="s">
        <v>25</v>
      </c>
    </row>
    <row r="4" spans="1:6" x14ac:dyDescent="0.25">
      <c r="A4" s="3" t="s">
        <v>26</v>
      </c>
      <c r="B4" s="4" t="s">
        <v>15</v>
      </c>
    </row>
    <row r="5" spans="1:6" ht="30" x14ac:dyDescent="0.25">
      <c r="A5" s="3" t="s">
        <v>27</v>
      </c>
      <c r="B5" s="4" t="s">
        <v>350</v>
      </c>
    </row>
    <row r="6" spans="1:6" x14ac:dyDescent="0.25">
      <c r="A6" s="3" t="s">
        <v>29</v>
      </c>
      <c r="B6" s="5">
        <f>COUNTIF(E10:E5000,"Pass")</f>
        <v>16</v>
      </c>
      <c r="C6" s="3" t="s">
        <v>30</v>
      </c>
      <c r="D6" s="5">
        <f>COUNTIF(E10:E5000,"Pending")</f>
        <v>0</v>
      </c>
    </row>
    <row r="7" spans="1:6" x14ac:dyDescent="0.25">
      <c r="A7" s="3" t="s">
        <v>31</v>
      </c>
      <c r="B7" s="5">
        <f>COUNTIF(E10:E5000,"Fail")</f>
        <v>0</v>
      </c>
      <c r="C7" s="3" t="s">
        <v>32</v>
      </c>
      <c r="D7" s="5">
        <f>COUNTA(A10:A5000)</f>
        <v>16</v>
      </c>
    </row>
    <row r="9" spans="1:6" ht="24" customHeight="1" x14ac:dyDescent="0.25">
      <c r="A9" s="6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</row>
    <row r="10" spans="1:6" ht="20.100000000000001" customHeight="1" x14ac:dyDescent="0.25">
      <c r="A10" s="7"/>
      <c r="B10" s="15" t="s">
        <v>39</v>
      </c>
      <c r="C10" s="16"/>
      <c r="D10" s="16"/>
      <c r="E10" s="16"/>
      <c r="F10" s="16"/>
    </row>
    <row r="11" spans="1:6" ht="204" customHeight="1" x14ac:dyDescent="0.25">
      <c r="A11" s="8" t="s">
        <v>351</v>
      </c>
      <c r="B11" s="9" t="s">
        <v>352</v>
      </c>
      <c r="C11" s="9" t="s">
        <v>353</v>
      </c>
      <c r="D11" s="9" t="s">
        <v>354</v>
      </c>
      <c r="E11" s="8" t="s">
        <v>29</v>
      </c>
      <c r="F11" s="9"/>
    </row>
    <row r="12" spans="1:6" ht="159.75" customHeight="1" x14ac:dyDescent="0.25">
      <c r="A12" s="8" t="s">
        <v>355</v>
      </c>
      <c r="B12" s="9" t="s">
        <v>356</v>
      </c>
      <c r="C12" s="9" t="s">
        <v>357</v>
      </c>
      <c r="D12" s="9" t="s">
        <v>358</v>
      </c>
      <c r="E12" s="8" t="s">
        <v>29</v>
      </c>
      <c r="F12" s="9"/>
    </row>
    <row r="13" spans="1:6" ht="141" customHeight="1" x14ac:dyDescent="0.25">
      <c r="A13" s="8" t="s">
        <v>359</v>
      </c>
      <c r="B13" s="9" t="s">
        <v>360</v>
      </c>
      <c r="C13" s="9" t="s">
        <v>361</v>
      </c>
      <c r="D13" s="9" t="s">
        <v>362</v>
      </c>
      <c r="E13" s="8" t="s">
        <v>29</v>
      </c>
      <c r="F13" s="9"/>
    </row>
    <row r="14" spans="1:6" ht="174.75" customHeight="1" x14ac:dyDescent="0.25">
      <c r="A14" s="8" t="s">
        <v>363</v>
      </c>
      <c r="B14" s="9" t="s">
        <v>364</v>
      </c>
      <c r="C14" s="9" t="s">
        <v>365</v>
      </c>
      <c r="D14" s="9" t="s">
        <v>366</v>
      </c>
      <c r="E14" s="8" t="s">
        <v>29</v>
      </c>
      <c r="F14" s="9"/>
    </row>
    <row r="16" spans="1:6" ht="20.100000000000001" customHeight="1" x14ac:dyDescent="0.25">
      <c r="A16" s="7"/>
      <c r="B16" s="15" t="s">
        <v>60</v>
      </c>
      <c r="C16" s="16"/>
      <c r="D16" s="16"/>
      <c r="E16" s="16"/>
      <c r="F16" s="16"/>
    </row>
    <row r="17" spans="1:6" ht="159.75" customHeight="1" x14ac:dyDescent="0.25">
      <c r="A17" s="8" t="s">
        <v>367</v>
      </c>
      <c r="B17" s="9" t="s">
        <v>368</v>
      </c>
      <c r="C17" s="9" t="s">
        <v>369</v>
      </c>
      <c r="D17" s="9" t="s">
        <v>370</v>
      </c>
      <c r="E17" s="8" t="s">
        <v>29</v>
      </c>
      <c r="F17" s="9"/>
    </row>
    <row r="18" spans="1:6" ht="161.25" customHeight="1" x14ac:dyDescent="0.25">
      <c r="A18" s="8" t="s">
        <v>371</v>
      </c>
      <c r="B18" s="9" t="s">
        <v>372</v>
      </c>
      <c r="C18" s="9" t="s">
        <v>373</v>
      </c>
      <c r="D18" s="9" t="s">
        <v>374</v>
      </c>
      <c r="E18" s="8" t="s">
        <v>29</v>
      </c>
      <c r="F18" s="9"/>
    </row>
    <row r="19" spans="1:6" ht="159" customHeight="1" x14ac:dyDescent="0.25">
      <c r="A19" s="8" t="s">
        <v>375</v>
      </c>
      <c r="B19" s="9" t="s">
        <v>376</v>
      </c>
      <c r="C19" s="9" t="s">
        <v>377</v>
      </c>
      <c r="D19" s="9" t="s">
        <v>378</v>
      </c>
      <c r="E19" s="8" t="s">
        <v>29</v>
      </c>
      <c r="F19" s="9"/>
    </row>
    <row r="20" spans="1:6" ht="159" customHeight="1" x14ac:dyDescent="0.25">
      <c r="A20" s="8" t="s">
        <v>379</v>
      </c>
      <c r="B20" s="9" t="s">
        <v>380</v>
      </c>
      <c r="C20" s="9" t="s">
        <v>381</v>
      </c>
      <c r="D20" s="9" t="s">
        <v>382</v>
      </c>
      <c r="E20" s="8" t="s">
        <v>29</v>
      </c>
      <c r="F20" s="9"/>
    </row>
    <row r="21" spans="1:6" ht="162" customHeight="1" x14ac:dyDescent="0.25">
      <c r="A21" s="8" t="s">
        <v>383</v>
      </c>
      <c r="B21" s="9" t="s">
        <v>384</v>
      </c>
      <c r="C21" s="9" t="s">
        <v>385</v>
      </c>
      <c r="D21" s="9" t="s">
        <v>386</v>
      </c>
      <c r="E21" s="8" t="s">
        <v>29</v>
      </c>
      <c r="F21" s="9"/>
    </row>
    <row r="22" spans="1:6" ht="157.5" customHeight="1" x14ac:dyDescent="0.25">
      <c r="A22" s="8" t="s">
        <v>387</v>
      </c>
      <c r="B22" s="9" t="s">
        <v>388</v>
      </c>
      <c r="C22" s="9" t="s">
        <v>389</v>
      </c>
      <c r="D22" s="9" t="s">
        <v>390</v>
      </c>
      <c r="E22" s="8" t="s">
        <v>29</v>
      </c>
      <c r="F22" s="9"/>
    </row>
    <row r="23" spans="1:6" ht="168" customHeight="1" x14ac:dyDescent="0.25">
      <c r="A23" s="8" t="s">
        <v>391</v>
      </c>
      <c r="B23" s="9" t="s">
        <v>392</v>
      </c>
      <c r="C23" s="9" t="s">
        <v>393</v>
      </c>
      <c r="D23" s="9" t="s">
        <v>394</v>
      </c>
      <c r="E23" s="8" t="s">
        <v>29</v>
      </c>
      <c r="F23" s="9"/>
    </row>
    <row r="24" spans="1:6" ht="163.5" customHeight="1" x14ac:dyDescent="0.25">
      <c r="A24" s="8" t="s">
        <v>395</v>
      </c>
      <c r="B24" s="9" t="s">
        <v>396</v>
      </c>
      <c r="C24" s="9" t="s">
        <v>397</v>
      </c>
      <c r="D24" s="9" t="s">
        <v>386</v>
      </c>
      <c r="E24" s="8" t="s">
        <v>29</v>
      </c>
      <c r="F24" s="9"/>
    </row>
    <row r="25" spans="1:6" ht="168.75" customHeight="1" x14ac:dyDescent="0.25">
      <c r="A25" s="8" t="s">
        <v>398</v>
      </c>
      <c r="B25" s="9" t="s">
        <v>399</v>
      </c>
      <c r="C25" s="9" t="s">
        <v>400</v>
      </c>
      <c r="D25" s="9" t="s">
        <v>401</v>
      </c>
      <c r="E25" s="8" t="s">
        <v>29</v>
      </c>
      <c r="F25" s="9"/>
    </row>
    <row r="26" spans="1:6" ht="157.5" customHeight="1" x14ac:dyDescent="0.25">
      <c r="A26" s="8" t="s">
        <v>402</v>
      </c>
      <c r="B26" s="9" t="s">
        <v>403</v>
      </c>
      <c r="C26" s="9" t="s">
        <v>404</v>
      </c>
      <c r="D26" s="9" t="s">
        <v>401</v>
      </c>
      <c r="E26" s="8" t="s">
        <v>29</v>
      </c>
      <c r="F26" s="9"/>
    </row>
    <row r="27" spans="1:6" ht="158.25" customHeight="1" x14ac:dyDescent="0.25">
      <c r="A27" s="8" t="s">
        <v>405</v>
      </c>
      <c r="B27" s="9" t="s">
        <v>406</v>
      </c>
      <c r="C27" s="9" t="s">
        <v>407</v>
      </c>
      <c r="D27" s="9" t="s">
        <v>408</v>
      </c>
      <c r="E27" s="8" t="s">
        <v>29</v>
      </c>
      <c r="F27" s="9"/>
    </row>
    <row r="28" spans="1:6" ht="161.25" customHeight="1" x14ac:dyDescent="0.25">
      <c r="A28" s="8" t="s">
        <v>409</v>
      </c>
      <c r="B28" s="9" t="s">
        <v>410</v>
      </c>
      <c r="C28" s="9" t="s">
        <v>411</v>
      </c>
      <c r="D28" s="9" t="s">
        <v>412</v>
      </c>
      <c r="E28" s="8" t="s">
        <v>29</v>
      </c>
      <c r="F28" s="9"/>
    </row>
  </sheetData>
  <mergeCells count="3">
    <mergeCell ref="B16:F16"/>
    <mergeCell ref="B10:F10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7"/>
  <sheetViews>
    <sheetView showGridLines="0" zoomScale="80" zoomScaleNormal="80" workbookViewId="0">
      <pane ySplit="9" topLeftCell="A10" activePane="bottomLeft" state="frozen"/>
      <selection pane="bottomLeft" activeCell="E12" sqref="E12"/>
    </sheetView>
  </sheetViews>
  <sheetFormatPr defaultRowHeight="15" x14ac:dyDescent="0.25"/>
  <cols>
    <col min="1" max="1" width="16" customWidth="1"/>
    <col min="2" max="2" width="42" customWidth="1"/>
    <col min="3" max="3" width="60" customWidth="1"/>
    <col min="4" max="4" width="45" customWidth="1"/>
    <col min="5" max="5" width="12" customWidth="1"/>
    <col min="6" max="6" width="15" customWidth="1"/>
  </cols>
  <sheetData>
    <row r="1" spans="1:6" ht="32.1" customHeight="1" x14ac:dyDescent="0.25">
      <c r="A1" s="17" t="s">
        <v>23</v>
      </c>
      <c r="B1" s="14"/>
      <c r="C1" s="14"/>
      <c r="D1" s="14"/>
      <c r="E1" s="14"/>
      <c r="F1" s="14"/>
    </row>
    <row r="3" spans="1:6" x14ac:dyDescent="0.25">
      <c r="A3" s="3" t="s">
        <v>24</v>
      </c>
      <c r="B3" s="4" t="s">
        <v>25</v>
      </c>
    </row>
    <row r="4" spans="1:6" x14ac:dyDescent="0.25">
      <c r="A4" s="3" t="s">
        <v>26</v>
      </c>
      <c r="B4" s="4" t="s">
        <v>17</v>
      </c>
    </row>
    <row r="5" spans="1:6" ht="30" x14ac:dyDescent="0.25">
      <c r="A5" s="3" t="s">
        <v>27</v>
      </c>
      <c r="B5" s="4" t="s">
        <v>413</v>
      </c>
    </row>
    <row r="6" spans="1:6" x14ac:dyDescent="0.25">
      <c r="A6" s="3" t="s">
        <v>29</v>
      </c>
      <c r="B6" s="5">
        <f>COUNTIF(E10:E5000,"Pass")</f>
        <v>15</v>
      </c>
      <c r="C6" s="3" t="s">
        <v>30</v>
      </c>
      <c r="D6" s="5">
        <f>COUNTIF(E10:E5000,"Pending")</f>
        <v>0</v>
      </c>
    </row>
    <row r="7" spans="1:6" x14ac:dyDescent="0.25">
      <c r="A7" s="3" t="s">
        <v>31</v>
      </c>
      <c r="B7" s="5">
        <f>COUNTIF(E10:E5000,"Fail")</f>
        <v>0</v>
      </c>
      <c r="C7" s="3" t="s">
        <v>32</v>
      </c>
      <c r="D7" s="5">
        <f>COUNTA(A10:A5000)</f>
        <v>15</v>
      </c>
    </row>
    <row r="9" spans="1:6" ht="24" customHeight="1" x14ac:dyDescent="0.25">
      <c r="A9" s="6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</row>
    <row r="10" spans="1:6" ht="20.100000000000001" customHeight="1" x14ac:dyDescent="0.25">
      <c r="A10" s="7"/>
      <c r="B10" s="15" t="s">
        <v>39</v>
      </c>
      <c r="C10" s="16"/>
      <c r="D10" s="16"/>
      <c r="E10" s="16"/>
      <c r="F10" s="16"/>
    </row>
    <row r="11" spans="1:6" ht="162" customHeight="1" x14ac:dyDescent="0.25">
      <c r="A11" s="8" t="s">
        <v>414</v>
      </c>
      <c r="B11" s="9" t="s">
        <v>415</v>
      </c>
      <c r="C11" s="9" t="s">
        <v>416</v>
      </c>
      <c r="D11" s="9" t="s">
        <v>417</v>
      </c>
      <c r="E11" s="30" t="s">
        <v>29</v>
      </c>
      <c r="F11" s="9"/>
    </row>
    <row r="12" spans="1:6" ht="201" customHeight="1" x14ac:dyDescent="0.25">
      <c r="A12" s="8" t="s">
        <v>418</v>
      </c>
      <c r="B12" s="9" t="s">
        <v>419</v>
      </c>
      <c r="C12" s="9" t="s">
        <v>420</v>
      </c>
      <c r="D12" s="9" t="s">
        <v>421</v>
      </c>
      <c r="E12" s="30" t="s">
        <v>29</v>
      </c>
      <c r="F12" s="9"/>
    </row>
    <row r="13" spans="1:6" ht="171" customHeight="1" x14ac:dyDescent="0.25">
      <c r="A13" s="8" t="s">
        <v>422</v>
      </c>
      <c r="B13" s="9" t="s">
        <v>423</v>
      </c>
      <c r="C13" s="9" t="s">
        <v>424</v>
      </c>
      <c r="D13" s="9" t="s">
        <v>425</v>
      </c>
      <c r="E13" s="8" t="s">
        <v>29</v>
      </c>
      <c r="F13" s="9"/>
    </row>
    <row r="14" spans="1:6" ht="186" customHeight="1" x14ac:dyDescent="0.25">
      <c r="A14" s="8" t="s">
        <v>426</v>
      </c>
      <c r="B14" s="9" t="s">
        <v>427</v>
      </c>
      <c r="C14" s="9" t="s">
        <v>428</v>
      </c>
      <c r="D14" s="9" t="s">
        <v>429</v>
      </c>
      <c r="E14" s="8" t="s">
        <v>29</v>
      </c>
      <c r="F14" s="9"/>
    </row>
    <row r="15" spans="1:6" ht="207" customHeight="1" x14ac:dyDescent="0.25">
      <c r="A15" s="8" t="s">
        <v>430</v>
      </c>
      <c r="B15" s="9" t="s">
        <v>431</v>
      </c>
      <c r="C15" s="9" t="s">
        <v>432</v>
      </c>
      <c r="D15" s="9" t="s">
        <v>433</v>
      </c>
      <c r="E15" s="8" t="s">
        <v>29</v>
      </c>
      <c r="F15" s="9"/>
    </row>
    <row r="16" spans="1:6" ht="189.75" customHeight="1" x14ac:dyDescent="0.25">
      <c r="A16" s="8" t="s">
        <v>434</v>
      </c>
      <c r="B16" s="9" t="s">
        <v>435</v>
      </c>
      <c r="C16" s="9" t="s">
        <v>436</v>
      </c>
      <c r="D16" s="9" t="s">
        <v>437</v>
      </c>
      <c r="E16" s="8" t="s">
        <v>29</v>
      </c>
      <c r="F16" s="9"/>
    </row>
    <row r="18" spans="1:6" ht="20.100000000000001" customHeight="1" x14ac:dyDescent="0.25">
      <c r="A18" s="7"/>
      <c r="B18" s="15" t="s">
        <v>60</v>
      </c>
      <c r="C18" s="16"/>
      <c r="D18" s="16"/>
      <c r="E18" s="16"/>
      <c r="F18" s="16"/>
    </row>
    <row r="19" spans="1:6" ht="141" customHeight="1" x14ac:dyDescent="0.25">
      <c r="A19" s="8" t="s">
        <v>438</v>
      </c>
      <c r="B19" s="9" t="s">
        <v>439</v>
      </c>
      <c r="C19" s="9" t="s">
        <v>440</v>
      </c>
      <c r="D19" s="9" t="s">
        <v>441</v>
      </c>
      <c r="E19" s="8" t="s">
        <v>29</v>
      </c>
      <c r="F19" s="9"/>
    </row>
    <row r="20" spans="1:6" ht="144.75" customHeight="1" x14ac:dyDescent="0.25">
      <c r="A20" s="8" t="s">
        <v>442</v>
      </c>
      <c r="B20" s="9" t="s">
        <v>443</v>
      </c>
      <c r="C20" s="9" t="s">
        <v>444</v>
      </c>
      <c r="D20" s="9" t="s">
        <v>445</v>
      </c>
      <c r="E20" s="8" t="s">
        <v>29</v>
      </c>
      <c r="F20" s="9"/>
    </row>
    <row r="21" spans="1:6" ht="142.5" customHeight="1" x14ac:dyDescent="0.25">
      <c r="A21" s="8" t="s">
        <v>446</v>
      </c>
      <c r="B21" s="9" t="s">
        <v>447</v>
      </c>
      <c r="C21" s="9" t="s">
        <v>448</v>
      </c>
      <c r="D21" s="9" t="s">
        <v>449</v>
      </c>
      <c r="E21" s="8" t="s">
        <v>29</v>
      </c>
      <c r="F21" s="9"/>
    </row>
    <row r="22" spans="1:6" ht="146.25" customHeight="1" x14ac:dyDescent="0.25">
      <c r="A22" s="8" t="s">
        <v>450</v>
      </c>
      <c r="B22" s="9" t="s">
        <v>451</v>
      </c>
      <c r="C22" s="9" t="s">
        <v>452</v>
      </c>
      <c r="D22" s="9" t="s">
        <v>453</v>
      </c>
      <c r="E22" s="8" t="s">
        <v>29</v>
      </c>
      <c r="F22" s="9"/>
    </row>
    <row r="23" spans="1:6" ht="141" customHeight="1" x14ac:dyDescent="0.25">
      <c r="A23" s="8" t="s">
        <v>454</v>
      </c>
      <c r="B23" s="9" t="s">
        <v>455</v>
      </c>
      <c r="C23" s="9" t="s">
        <v>456</v>
      </c>
      <c r="D23" s="9" t="s">
        <v>457</v>
      </c>
      <c r="E23" s="8" t="s">
        <v>29</v>
      </c>
      <c r="F23" s="9"/>
    </row>
    <row r="24" spans="1:6" ht="132" customHeight="1" x14ac:dyDescent="0.25">
      <c r="A24" s="8" t="s">
        <v>458</v>
      </c>
      <c r="B24" s="9" t="s">
        <v>459</v>
      </c>
      <c r="C24" s="9" t="s">
        <v>460</v>
      </c>
      <c r="D24" s="9" t="s">
        <v>461</v>
      </c>
      <c r="E24" s="8" t="s">
        <v>29</v>
      </c>
      <c r="F24" s="9"/>
    </row>
    <row r="25" spans="1:6" ht="135" customHeight="1" x14ac:dyDescent="0.25">
      <c r="A25" s="8" t="s">
        <v>462</v>
      </c>
      <c r="B25" s="9" t="s">
        <v>463</v>
      </c>
      <c r="C25" s="9" t="s">
        <v>464</v>
      </c>
      <c r="D25" s="9" t="s">
        <v>401</v>
      </c>
      <c r="E25" s="8" t="s">
        <v>29</v>
      </c>
      <c r="F25" s="9"/>
    </row>
    <row r="26" spans="1:6" ht="128.25" customHeight="1" x14ac:dyDescent="0.25">
      <c r="A26" s="8" t="s">
        <v>465</v>
      </c>
      <c r="B26" s="9" t="s">
        <v>466</v>
      </c>
      <c r="C26" s="9" t="s">
        <v>467</v>
      </c>
      <c r="D26" s="9" t="s">
        <v>401</v>
      </c>
      <c r="E26" s="8" t="s">
        <v>29</v>
      </c>
      <c r="F26" s="9"/>
    </row>
    <row r="27" spans="1:6" ht="149.25" customHeight="1" x14ac:dyDescent="0.25">
      <c r="A27" s="8" t="s">
        <v>468</v>
      </c>
      <c r="B27" s="9" t="s">
        <v>469</v>
      </c>
      <c r="C27" s="9" t="s">
        <v>470</v>
      </c>
      <c r="D27" s="9" t="s">
        <v>471</v>
      </c>
      <c r="E27" s="8" t="s">
        <v>29</v>
      </c>
      <c r="F27" s="9"/>
    </row>
  </sheetData>
  <mergeCells count="3">
    <mergeCell ref="B18:F18"/>
    <mergeCell ref="B10:F10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showGridLines="0" zoomScale="80" zoomScaleNormal="80" workbookViewId="0">
      <pane ySplit="9" topLeftCell="A20" activePane="bottomLeft" state="frozen"/>
      <selection pane="bottomLeft" activeCell="E2" sqref="E1:E1048576"/>
    </sheetView>
  </sheetViews>
  <sheetFormatPr defaultRowHeight="15" x14ac:dyDescent="0.25"/>
  <cols>
    <col min="1" max="1" width="16" customWidth="1"/>
    <col min="2" max="2" width="42" customWidth="1"/>
    <col min="3" max="3" width="60" customWidth="1"/>
    <col min="4" max="4" width="45" customWidth="1"/>
    <col min="5" max="5" width="12" customWidth="1"/>
    <col min="6" max="6" width="17.5703125" customWidth="1"/>
  </cols>
  <sheetData>
    <row r="1" spans="1:6" ht="32.1" customHeight="1" x14ac:dyDescent="0.25">
      <c r="A1" s="17" t="s">
        <v>23</v>
      </c>
      <c r="B1" s="14"/>
      <c r="C1" s="14"/>
      <c r="D1" s="14"/>
      <c r="E1" s="14"/>
      <c r="F1" s="14"/>
    </row>
    <row r="3" spans="1:6" x14ac:dyDescent="0.25">
      <c r="A3" s="3" t="s">
        <v>24</v>
      </c>
      <c r="B3" s="4" t="s">
        <v>25</v>
      </c>
    </row>
    <row r="4" spans="1:6" x14ac:dyDescent="0.25">
      <c r="A4" s="3" t="s">
        <v>26</v>
      </c>
      <c r="B4" s="4" t="s">
        <v>19</v>
      </c>
    </row>
    <row r="5" spans="1:6" ht="30" x14ac:dyDescent="0.25">
      <c r="A5" s="3" t="s">
        <v>27</v>
      </c>
      <c r="B5" s="4" t="s">
        <v>472</v>
      </c>
    </row>
    <row r="6" spans="1:6" x14ac:dyDescent="0.25">
      <c r="A6" s="3" t="s">
        <v>29</v>
      </c>
      <c r="B6" s="5">
        <f>COUNTIF(E10:E5000,"Pass")</f>
        <v>8</v>
      </c>
      <c r="C6" s="3" t="s">
        <v>30</v>
      </c>
      <c r="D6" s="5">
        <f>COUNTIF(E10:E5000,"Pending")</f>
        <v>0</v>
      </c>
    </row>
    <row r="7" spans="1:6" x14ac:dyDescent="0.25">
      <c r="A7" s="3" t="s">
        <v>31</v>
      </c>
      <c r="B7" s="5">
        <f>COUNTIF(E10:E5000,"Fail")</f>
        <v>0</v>
      </c>
      <c r="C7" s="3" t="s">
        <v>32</v>
      </c>
      <c r="D7" s="5">
        <f>COUNTA(A10:A5000)</f>
        <v>8</v>
      </c>
    </row>
    <row r="9" spans="1:6" ht="24" customHeight="1" x14ac:dyDescent="0.25">
      <c r="A9" s="6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</row>
    <row r="10" spans="1:6" ht="20.100000000000001" customHeight="1" x14ac:dyDescent="0.25">
      <c r="A10" s="7"/>
      <c r="B10" s="15" t="s">
        <v>39</v>
      </c>
      <c r="C10" s="16"/>
      <c r="D10" s="16"/>
      <c r="E10" s="16"/>
      <c r="F10" s="16"/>
    </row>
    <row r="11" spans="1:6" ht="141" customHeight="1" x14ac:dyDescent="0.25">
      <c r="A11" s="8" t="s">
        <v>473</v>
      </c>
      <c r="B11" s="9" t="s">
        <v>474</v>
      </c>
      <c r="C11" s="9" t="s">
        <v>475</v>
      </c>
      <c r="D11" s="9" t="s">
        <v>476</v>
      </c>
      <c r="E11" s="8" t="s">
        <v>29</v>
      </c>
      <c r="F11" s="9"/>
    </row>
    <row r="12" spans="1:6" ht="174" customHeight="1" x14ac:dyDescent="0.25">
      <c r="A12" s="8" t="s">
        <v>477</v>
      </c>
      <c r="B12" s="9" t="s">
        <v>478</v>
      </c>
      <c r="C12" s="9" t="s">
        <v>479</v>
      </c>
      <c r="D12" s="9" t="s">
        <v>480</v>
      </c>
      <c r="E12" s="8" t="s">
        <v>29</v>
      </c>
      <c r="F12" s="9"/>
    </row>
    <row r="13" spans="1:6" ht="150.75" customHeight="1" x14ac:dyDescent="0.25">
      <c r="A13" s="8" t="s">
        <v>481</v>
      </c>
      <c r="B13" s="9" t="s">
        <v>482</v>
      </c>
      <c r="C13" s="9" t="s">
        <v>483</v>
      </c>
      <c r="D13" s="9" t="s">
        <v>484</v>
      </c>
      <c r="E13" s="8" t="s">
        <v>29</v>
      </c>
      <c r="F13" s="9"/>
    </row>
    <row r="14" spans="1:6" ht="142.5" customHeight="1" x14ac:dyDescent="0.25">
      <c r="A14" s="8" t="s">
        <v>485</v>
      </c>
      <c r="B14" s="9" t="s">
        <v>486</v>
      </c>
      <c r="C14" s="9" t="s">
        <v>487</v>
      </c>
      <c r="D14" s="9" t="s">
        <v>488</v>
      </c>
      <c r="E14" s="8" t="s">
        <v>29</v>
      </c>
      <c r="F14" s="9"/>
    </row>
    <row r="16" spans="1:6" ht="20.100000000000001" customHeight="1" x14ac:dyDescent="0.25">
      <c r="A16" s="7"/>
      <c r="B16" s="15" t="s">
        <v>60</v>
      </c>
      <c r="C16" s="16"/>
      <c r="D16" s="16"/>
      <c r="E16" s="16"/>
      <c r="F16" s="16"/>
    </row>
    <row r="17" spans="1:6" ht="164.25" customHeight="1" x14ac:dyDescent="0.25">
      <c r="A17" s="8" t="s">
        <v>489</v>
      </c>
      <c r="B17" s="9" t="s">
        <v>490</v>
      </c>
      <c r="C17" s="9" t="s">
        <v>491</v>
      </c>
      <c r="D17" s="9" t="s">
        <v>401</v>
      </c>
      <c r="E17" s="8" t="s">
        <v>29</v>
      </c>
      <c r="F17" s="9"/>
    </row>
    <row r="18" spans="1:6" ht="157.5" customHeight="1" x14ac:dyDescent="0.25">
      <c r="A18" s="8" t="s">
        <v>492</v>
      </c>
      <c r="B18" s="9" t="s">
        <v>493</v>
      </c>
      <c r="C18" s="9" t="s">
        <v>494</v>
      </c>
      <c r="D18" s="9" t="s">
        <v>401</v>
      </c>
      <c r="E18" s="8" t="s">
        <v>29</v>
      </c>
      <c r="F18" s="9"/>
    </row>
    <row r="19" spans="1:6" ht="158.25" customHeight="1" x14ac:dyDescent="0.25">
      <c r="A19" s="8" t="s">
        <v>495</v>
      </c>
      <c r="B19" s="9" t="s">
        <v>496</v>
      </c>
      <c r="C19" s="9" t="s">
        <v>497</v>
      </c>
      <c r="D19" s="9" t="s">
        <v>498</v>
      </c>
      <c r="E19" s="8" t="s">
        <v>29</v>
      </c>
      <c r="F19" s="9"/>
    </row>
    <row r="20" spans="1:6" ht="160.5" customHeight="1" x14ac:dyDescent="0.25">
      <c r="A20" s="8" t="s">
        <v>499</v>
      </c>
      <c r="B20" s="9" t="s">
        <v>500</v>
      </c>
      <c r="C20" s="9" t="s">
        <v>501</v>
      </c>
      <c r="D20" s="9" t="s">
        <v>502</v>
      </c>
      <c r="E20" s="8" t="s">
        <v>29</v>
      </c>
      <c r="F20" s="9"/>
    </row>
  </sheetData>
  <mergeCells count="3">
    <mergeCell ref="B16:F16"/>
    <mergeCell ref="B10:F10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3"/>
  <sheetViews>
    <sheetView showGridLines="0" zoomScale="80" zoomScaleNormal="80" workbookViewId="0">
      <pane ySplit="9" topLeftCell="A10" activePane="bottomLeft" state="frozen"/>
      <selection pane="bottomLeft" activeCell="E2" sqref="E1:E1048576"/>
    </sheetView>
  </sheetViews>
  <sheetFormatPr defaultRowHeight="15" x14ac:dyDescent="0.25"/>
  <cols>
    <col min="1" max="1" width="16" customWidth="1"/>
    <col min="2" max="2" width="42" customWidth="1"/>
    <col min="3" max="3" width="60" customWidth="1"/>
    <col min="4" max="4" width="45" customWidth="1"/>
    <col min="5" max="5" width="12" customWidth="1"/>
    <col min="6" max="6" width="17.28515625" customWidth="1"/>
  </cols>
  <sheetData>
    <row r="1" spans="1:6" ht="32.1" customHeight="1" x14ac:dyDescent="0.25">
      <c r="A1" s="17" t="s">
        <v>23</v>
      </c>
      <c r="B1" s="14"/>
      <c r="C1" s="14"/>
      <c r="D1" s="14"/>
      <c r="E1" s="14"/>
      <c r="F1" s="14"/>
    </row>
    <row r="3" spans="1:6" x14ac:dyDescent="0.25">
      <c r="A3" s="3" t="s">
        <v>24</v>
      </c>
      <c r="B3" s="4" t="s">
        <v>25</v>
      </c>
    </row>
    <row r="4" spans="1:6" x14ac:dyDescent="0.25">
      <c r="A4" s="3" t="s">
        <v>26</v>
      </c>
      <c r="B4" s="4" t="s">
        <v>21</v>
      </c>
    </row>
    <row r="5" spans="1:6" ht="30" x14ac:dyDescent="0.25">
      <c r="A5" s="3" t="s">
        <v>27</v>
      </c>
      <c r="B5" s="4" t="s">
        <v>503</v>
      </c>
    </row>
    <row r="6" spans="1:6" x14ac:dyDescent="0.25">
      <c r="A6" s="3" t="s">
        <v>29</v>
      </c>
      <c r="B6" s="5">
        <f>COUNTIF(E10:E5000,"Pass")</f>
        <v>11</v>
      </c>
      <c r="C6" s="3" t="s">
        <v>30</v>
      </c>
      <c r="D6" s="5">
        <f>COUNTIF(E10:E5000,"Pending")</f>
        <v>0</v>
      </c>
    </row>
    <row r="7" spans="1:6" x14ac:dyDescent="0.25">
      <c r="A7" s="3" t="s">
        <v>31</v>
      </c>
      <c r="B7" s="5">
        <f>COUNTIF(E10:E5000,"Fail")</f>
        <v>0</v>
      </c>
      <c r="C7" s="3" t="s">
        <v>32</v>
      </c>
      <c r="D7" s="5">
        <f>COUNTA(A10:A5000)</f>
        <v>11</v>
      </c>
    </row>
    <row r="9" spans="1:6" ht="24" customHeight="1" x14ac:dyDescent="0.25">
      <c r="A9" s="6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</row>
    <row r="10" spans="1:6" ht="20.100000000000001" customHeight="1" x14ac:dyDescent="0.25">
      <c r="A10" s="7"/>
      <c r="B10" s="15" t="s">
        <v>39</v>
      </c>
      <c r="C10" s="16"/>
      <c r="D10" s="16"/>
      <c r="E10" s="16"/>
      <c r="F10" s="16"/>
    </row>
    <row r="11" spans="1:6" ht="183" customHeight="1" x14ac:dyDescent="0.25">
      <c r="A11" s="8" t="s">
        <v>504</v>
      </c>
      <c r="B11" s="9" t="s">
        <v>505</v>
      </c>
      <c r="C11" s="9" t="s">
        <v>506</v>
      </c>
      <c r="D11" s="9" t="s">
        <v>507</v>
      </c>
      <c r="E11" s="8" t="s">
        <v>29</v>
      </c>
      <c r="F11" s="9"/>
    </row>
    <row r="12" spans="1:6" ht="136.5" customHeight="1" x14ac:dyDescent="0.25">
      <c r="A12" s="8" t="s">
        <v>508</v>
      </c>
      <c r="B12" s="9" t="s">
        <v>509</v>
      </c>
      <c r="C12" s="9" t="s">
        <v>510</v>
      </c>
      <c r="D12" s="9" t="s">
        <v>511</v>
      </c>
      <c r="E12" s="8" t="s">
        <v>29</v>
      </c>
      <c r="F12" s="9"/>
    </row>
    <row r="13" spans="1:6" ht="163.5" customHeight="1" x14ac:dyDescent="0.25">
      <c r="A13" s="8" t="s">
        <v>512</v>
      </c>
      <c r="B13" s="9" t="s">
        <v>513</v>
      </c>
      <c r="C13" s="9" t="s">
        <v>514</v>
      </c>
      <c r="D13" s="9" t="s">
        <v>515</v>
      </c>
      <c r="E13" s="8" t="s">
        <v>29</v>
      </c>
      <c r="F13" s="9"/>
    </row>
    <row r="15" spans="1:6" ht="20.100000000000001" customHeight="1" x14ac:dyDescent="0.25">
      <c r="A15" s="7"/>
      <c r="B15" s="15" t="s">
        <v>60</v>
      </c>
      <c r="C15" s="16"/>
      <c r="D15" s="16"/>
      <c r="E15" s="16"/>
      <c r="F15" s="16"/>
    </row>
    <row r="16" spans="1:6" ht="170.25" customHeight="1" x14ac:dyDescent="0.25">
      <c r="A16" s="8" t="s">
        <v>516</v>
      </c>
      <c r="B16" s="9" t="s">
        <v>517</v>
      </c>
      <c r="C16" s="9" t="s">
        <v>518</v>
      </c>
      <c r="D16" s="9" t="s">
        <v>519</v>
      </c>
      <c r="E16" s="8" t="s">
        <v>29</v>
      </c>
      <c r="F16" s="9"/>
    </row>
    <row r="17" spans="1:6" ht="175.5" customHeight="1" x14ac:dyDescent="0.25">
      <c r="A17" s="8" t="s">
        <v>520</v>
      </c>
      <c r="B17" s="9" t="s">
        <v>521</v>
      </c>
      <c r="C17" s="9" t="s">
        <v>522</v>
      </c>
      <c r="D17" s="9" t="s">
        <v>523</v>
      </c>
      <c r="E17" s="8" t="s">
        <v>29</v>
      </c>
      <c r="F17" s="9"/>
    </row>
    <row r="18" spans="1:6" ht="174.75" customHeight="1" x14ac:dyDescent="0.25">
      <c r="A18" s="8" t="s">
        <v>524</v>
      </c>
      <c r="B18" s="9" t="s">
        <v>525</v>
      </c>
      <c r="C18" s="9" t="s">
        <v>526</v>
      </c>
      <c r="D18" s="9" t="s">
        <v>523</v>
      </c>
      <c r="E18" s="8" t="s">
        <v>29</v>
      </c>
      <c r="F18" s="9"/>
    </row>
    <row r="19" spans="1:6" ht="184.5" customHeight="1" x14ac:dyDescent="0.25">
      <c r="A19" s="8" t="s">
        <v>527</v>
      </c>
      <c r="B19" s="9" t="s">
        <v>528</v>
      </c>
      <c r="C19" s="9" t="s">
        <v>529</v>
      </c>
      <c r="D19" s="9" t="s">
        <v>530</v>
      </c>
      <c r="E19" s="8" t="s">
        <v>29</v>
      </c>
      <c r="F19" s="9"/>
    </row>
    <row r="20" spans="1:6" ht="171" customHeight="1" x14ac:dyDescent="0.25">
      <c r="A20" s="8" t="s">
        <v>531</v>
      </c>
      <c r="B20" s="9" t="s">
        <v>532</v>
      </c>
      <c r="C20" s="9" t="s">
        <v>533</v>
      </c>
      <c r="D20" s="9" t="s">
        <v>534</v>
      </c>
      <c r="E20" s="8" t="s">
        <v>29</v>
      </c>
      <c r="F20" s="9"/>
    </row>
    <row r="21" spans="1:6" ht="182.25" customHeight="1" x14ac:dyDescent="0.25">
      <c r="A21" s="8" t="s">
        <v>535</v>
      </c>
      <c r="B21" s="9" t="s">
        <v>536</v>
      </c>
      <c r="C21" s="9" t="s">
        <v>537</v>
      </c>
      <c r="D21" s="9" t="s">
        <v>401</v>
      </c>
      <c r="E21" s="8" t="s">
        <v>29</v>
      </c>
      <c r="F21" s="9"/>
    </row>
    <row r="22" spans="1:6" ht="178.5" customHeight="1" x14ac:dyDescent="0.25">
      <c r="A22" s="8" t="s">
        <v>538</v>
      </c>
      <c r="B22" s="9" t="s">
        <v>539</v>
      </c>
      <c r="C22" s="9" t="s">
        <v>540</v>
      </c>
      <c r="D22" s="9" t="s">
        <v>401</v>
      </c>
      <c r="E22" s="8" t="s">
        <v>29</v>
      </c>
      <c r="F22" s="9"/>
    </row>
    <row r="23" spans="1:6" ht="175.5" customHeight="1" x14ac:dyDescent="0.25">
      <c r="A23" s="8" t="s">
        <v>541</v>
      </c>
      <c r="B23" s="9" t="s">
        <v>542</v>
      </c>
      <c r="C23" s="9" t="s">
        <v>543</v>
      </c>
      <c r="D23" s="9" t="s">
        <v>544</v>
      </c>
      <c r="E23" s="8" t="s">
        <v>29</v>
      </c>
      <c r="F23" s="9"/>
    </row>
  </sheetData>
  <mergeCells count="3">
    <mergeCell ref="B10:F10"/>
    <mergeCell ref="A1:F1"/>
    <mergeCell ref="B15:F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4"/>
  <sheetViews>
    <sheetView showGridLines="0" workbookViewId="0">
      <selection activeCell="C20" sqref="C20"/>
    </sheetView>
  </sheetViews>
  <sheetFormatPr defaultRowHeight="15" x14ac:dyDescent="0.25"/>
  <cols>
    <col min="1" max="1" width="44" customWidth="1"/>
    <col min="2" max="5" width="14" customWidth="1"/>
  </cols>
  <sheetData>
    <row r="1" spans="1:5" ht="23.25" x14ac:dyDescent="0.35">
      <c r="A1" s="32" t="s">
        <v>545</v>
      </c>
      <c r="B1" s="14"/>
      <c r="C1" s="14"/>
      <c r="D1" s="14"/>
      <c r="E1" s="14"/>
    </row>
    <row r="3" spans="1:5" x14ac:dyDescent="0.25">
      <c r="A3" s="6" t="s">
        <v>2</v>
      </c>
      <c r="B3" s="6" t="s">
        <v>546</v>
      </c>
      <c r="C3" s="6" t="s">
        <v>29</v>
      </c>
      <c r="D3" s="6" t="s">
        <v>31</v>
      </c>
      <c r="E3" s="6" t="s">
        <v>30</v>
      </c>
    </row>
    <row r="4" spans="1:5" x14ac:dyDescent="0.25">
      <c r="A4" s="10" t="s">
        <v>547</v>
      </c>
      <c r="B4" s="8">
        <f>'HTS-0'!D7</f>
        <v>14</v>
      </c>
      <c r="C4" s="8">
        <f>'HTS-0'!B6</f>
        <v>14</v>
      </c>
      <c r="D4" s="8">
        <f>'HTS-0'!B7</f>
        <v>0</v>
      </c>
      <c r="E4" s="8">
        <f>'HTS-0'!D6</f>
        <v>0</v>
      </c>
    </row>
    <row r="5" spans="1:5" x14ac:dyDescent="0.25">
      <c r="A5" s="10" t="s">
        <v>548</v>
      </c>
      <c r="B5" s="8">
        <f>'HTS-1'!D7</f>
        <v>2</v>
      </c>
      <c r="C5" s="8">
        <f>'HTS-1'!B6</f>
        <v>2</v>
      </c>
      <c r="D5" s="8">
        <f>'HTS-1'!B7</f>
        <v>0</v>
      </c>
      <c r="E5" s="8">
        <f>'HTS-1'!D6</f>
        <v>0</v>
      </c>
    </row>
    <row r="6" spans="1:5" x14ac:dyDescent="0.25">
      <c r="A6" s="10" t="s">
        <v>549</v>
      </c>
      <c r="B6" s="8">
        <f>'HTS-2'!D7</f>
        <v>3</v>
      </c>
      <c r="C6" s="8">
        <f>'HTS-2'!B6</f>
        <v>3</v>
      </c>
      <c r="D6" s="8">
        <f>'HTS-2'!B7</f>
        <v>0</v>
      </c>
      <c r="E6" s="8">
        <f>'HTS-2'!D6</f>
        <v>0</v>
      </c>
    </row>
    <row r="7" spans="1:5" x14ac:dyDescent="0.25">
      <c r="A7" s="10" t="s">
        <v>550</v>
      </c>
      <c r="B7" s="8">
        <f>'HTS-3'!D7</f>
        <v>30</v>
      </c>
      <c r="C7" s="8">
        <f>'HTS-3'!B6</f>
        <v>28</v>
      </c>
      <c r="D7" s="8">
        <f>'HTS-3'!B7</f>
        <v>2</v>
      </c>
      <c r="E7" s="8">
        <f>'HTS-3'!D6</f>
        <v>0</v>
      </c>
    </row>
    <row r="8" spans="1:5" x14ac:dyDescent="0.25">
      <c r="A8" s="10" t="s">
        <v>551</v>
      </c>
      <c r="B8" s="8">
        <f>'HTS-4'!D7</f>
        <v>18</v>
      </c>
      <c r="C8" s="8">
        <f>'HTS-4'!B6</f>
        <v>18</v>
      </c>
      <c r="D8" s="8">
        <f>'HTS-4'!B7</f>
        <v>0</v>
      </c>
      <c r="E8" s="8">
        <f>'HTS-4'!D6</f>
        <v>0</v>
      </c>
    </row>
    <row r="9" spans="1:5" x14ac:dyDescent="0.25">
      <c r="A9" s="10" t="s">
        <v>552</v>
      </c>
      <c r="B9" s="8">
        <f>'HTS-5'!D7</f>
        <v>18</v>
      </c>
      <c r="C9" s="8">
        <f>'HTS-5'!B6</f>
        <v>18</v>
      </c>
      <c r="D9" s="8">
        <f>'HTS-5'!B7</f>
        <v>0</v>
      </c>
      <c r="E9" s="8">
        <f>'HTS-5'!D6</f>
        <v>0</v>
      </c>
    </row>
    <row r="10" spans="1:5" x14ac:dyDescent="0.25">
      <c r="A10" s="10" t="s">
        <v>553</v>
      </c>
      <c r="B10" s="8">
        <f>'HTS-6'!D7</f>
        <v>16</v>
      </c>
      <c r="C10" s="8">
        <f>'HTS-6'!B6</f>
        <v>16</v>
      </c>
      <c r="D10" s="8">
        <f>'HTS-6'!B7</f>
        <v>0</v>
      </c>
      <c r="E10" s="8">
        <f>'HTS-6'!D6</f>
        <v>0</v>
      </c>
    </row>
    <row r="11" spans="1:5" x14ac:dyDescent="0.25">
      <c r="A11" s="10" t="s">
        <v>554</v>
      </c>
      <c r="B11" s="8">
        <f>'HTS-7'!D7</f>
        <v>15</v>
      </c>
      <c r="C11" s="8">
        <f>'HTS-7'!B6</f>
        <v>15</v>
      </c>
      <c r="D11" s="8">
        <f>'HTS-7'!B7</f>
        <v>0</v>
      </c>
      <c r="E11" s="8">
        <f>'HTS-7'!D6</f>
        <v>0</v>
      </c>
    </row>
    <row r="12" spans="1:5" x14ac:dyDescent="0.25">
      <c r="A12" s="10" t="s">
        <v>555</v>
      </c>
      <c r="B12" s="8">
        <f>'HTS-8'!D7</f>
        <v>8</v>
      </c>
      <c r="C12" s="8">
        <f>'HTS-8'!B6</f>
        <v>8</v>
      </c>
      <c r="D12" s="8">
        <f>'HTS-8'!B7</f>
        <v>0</v>
      </c>
      <c r="E12" s="8">
        <f>'HTS-8'!D6</f>
        <v>0</v>
      </c>
    </row>
    <row r="13" spans="1:5" x14ac:dyDescent="0.25">
      <c r="A13" s="10" t="s">
        <v>556</v>
      </c>
      <c r="B13" s="8">
        <f>'HTS-9'!D7</f>
        <v>11</v>
      </c>
      <c r="C13" s="8">
        <f>'HTS-9'!B6</f>
        <v>11</v>
      </c>
      <c r="D13" s="8">
        <f>'HTS-9'!B7</f>
        <v>0</v>
      </c>
      <c r="E13" s="8">
        <f>'HTS-9'!D6</f>
        <v>0</v>
      </c>
    </row>
    <row r="14" spans="1:5" x14ac:dyDescent="0.25">
      <c r="A14" s="11" t="s">
        <v>557</v>
      </c>
      <c r="B14" s="12">
        <f>SUM(B4:B13)</f>
        <v>135</v>
      </c>
      <c r="C14" s="12">
        <f>SUM(C4:C13)</f>
        <v>133</v>
      </c>
      <c r="D14" s="12">
        <f>SUM(D4:D13)</f>
        <v>2</v>
      </c>
      <c r="E14" s="12">
        <f>SUM(E4:E13)</f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HTS-0</vt:lpstr>
      <vt:lpstr>HTS-1</vt:lpstr>
      <vt:lpstr>HTS-2</vt:lpstr>
      <vt:lpstr>HTS-3</vt:lpstr>
      <vt:lpstr>HTS-4</vt:lpstr>
      <vt:lpstr>HTS-5</vt:lpstr>
      <vt:lpstr>HTS-6</vt:lpstr>
      <vt:lpstr>HTS-7</vt:lpstr>
      <vt:lpstr>HTS-8</vt:lpstr>
      <vt:lpstr>HTS-9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Viet Anh  Dung - Cong nghe thong tin</cp:lastModifiedBy>
  <dcterms:created xsi:type="dcterms:W3CDTF">2025-12-30T10:07:23Z</dcterms:created>
  <dcterms:modified xsi:type="dcterms:W3CDTF">2025-12-31T09:22:40Z</dcterms:modified>
</cp:coreProperties>
</file>